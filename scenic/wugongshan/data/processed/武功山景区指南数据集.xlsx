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数据总表" sheetId="2" state="visible" r:id="rId2"/>
    <sheet xmlns:r="http://schemas.openxmlformats.org/officeDocument/2006/relationships" name="02_来源清单" sheetId="3" state="visible" r:id="rId3"/>
    <sheet xmlns:r="http://schemas.openxmlformats.org/officeDocument/2006/relationships" name="03_字段字典" sheetId="4" state="visible" r:id="rId4"/>
    <sheet xmlns:r="http://schemas.openxmlformats.org/officeDocument/2006/relationships" name="04_质量检查" sheetId="5" state="visible" r:id="rId5"/>
    <sheet xmlns:r="http://schemas.openxmlformats.org/officeDocument/2006/relationships" name="05_清洗前后对比" sheetId="6" state="visible" r:id="rId6"/>
    <sheet xmlns:r="http://schemas.openxmlformats.org/officeDocument/2006/relationships" name="06_统计图表" sheetId="7" state="visible" r:id="rId7"/>
    <sheet xmlns:r="http://schemas.openxmlformats.org/officeDocument/2006/relationships" name="07_问题与处理" sheetId="8" state="visible" r:id="rId8"/>
  </sheets>
  <definedNames>
    <definedName name="_xlnm._FilterDatabase" localSheetId="1" hidden="1">'01_数据总表'!$A$1:$U$15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color rgb="001F4E79"/>
      <sz val="14"/>
    </font>
    <font>
      <name val="微软雅黑"/>
      <b val="1"/>
      <sz val="10"/>
    </font>
    <font>
      <name val="微软雅黑"/>
      <sz val="10"/>
    </font>
    <font>
      <name val="微软雅黑"/>
      <b val="1"/>
      <color rgb="00FFFFFF"/>
      <sz val="10"/>
    </font>
    <font>
      <name val="微软雅黑"/>
      <color rgb="000563C1"/>
      <sz val="9"/>
      <u val="single"/>
    </font>
    <font>
      <name val="微软雅黑"/>
      <b val="1"/>
      <sz val="11"/>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center" wrapText="1"/>
    </xf>
    <xf numFmtId="0" fontId="3"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各来源站点记录数</a:t>
            </a:r>
          </a:p>
        </rich>
      </tx>
    </title>
    <plotArea>
      <barChart>
        <barDir val="col"/>
        <grouping val="clustered"/>
        <ser>
          <idx val="0"/>
          <order val="0"/>
          <tx>
            <strRef>
              <f>'06_统计图表'!B2</f>
            </strRef>
          </tx>
          <spPr>
            <a:ln xmlns:a="http://schemas.openxmlformats.org/drawingml/2006/main">
              <a:prstDash val="solid"/>
            </a:ln>
          </spPr>
          <cat>
            <strRef>
              <f>'06_统计图表'!$A$3:$A$7</f>
            </strRef>
          </cat>
          <val>
            <numRef>
              <f>'06_统计图表'!$B$3:$B$7</f>
            </numRef>
          </val>
        </ser>
        <gapWidth val="15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记录数</a:t>
                </a:r>
              </a:p>
            </rich>
          </tx>
        </title>
        <majorTickMark val="none"/>
        <minorTickMark val="none"/>
        <crossAx val="10"/>
        <majorUnit val="1"/>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清洗前后字数对比</a:t>
            </a:r>
          </a:p>
        </rich>
      </tx>
    </title>
    <plotArea>
      <barChart>
        <barDir val="col"/>
        <grouping val="clustered"/>
        <ser>
          <idx val="0"/>
          <order val="0"/>
          <tx>
            <strRef>
              <f>'06_统计图表'!B21</f>
            </strRef>
          </tx>
          <spPr>
            <a:ln xmlns:a="http://schemas.openxmlformats.org/drawingml/2006/main">
              <a:prstDash val="solid"/>
            </a:ln>
          </spPr>
          <cat>
            <strRef>
              <f>'06_统计图表'!$A$22:$A$35</f>
            </strRef>
          </cat>
          <val>
            <numRef>
              <f>'06_统计图表'!$B$22:$B$35</f>
            </numRef>
          </val>
        </ser>
        <ser>
          <idx val="1"/>
          <order val="1"/>
          <tx>
            <strRef>
              <f>'06_统计图表'!C21</f>
            </strRef>
          </tx>
          <spPr>
            <a:ln xmlns:a="http://schemas.openxmlformats.org/drawingml/2006/main">
              <a:prstDash val="solid"/>
            </a:ln>
          </spPr>
          <cat>
            <strRef>
              <f>'06_统计图表'!$A$22:$A$35</f>
            </strRef>
          </cat>
          <val>
            <numRef>
              <f>'06_统计图表'!$C$22:$C$35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字数</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19</row>
      <rowOff>0</rowOff>
    </from>
    <ext cx="72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ap.wugongshan.cn/page/strategyList!info.htm?id=104" TargetMode="External" Id="rId1"/><Relationship Type="http://schemas.openxmlformats.org/officeDocument/2006/relationships/hyperlink" Target="http://wap.wugongshan.cn/page/strategyList!info.htm?id=103" TargetMode="External" Id="rId2"/><Relationship Type="http://schemas.openxmlformats.org/officeDocument/2006/relationships/hyperlink" Target="http://wap.wugongshan.cn/page/strategyList!info.htm?id=188" TargetMode="External" Id="rId3"/><Relationship Type="http://schemas.openxmlformats.org/officeDocument/2006/relationships/hyperlink" Target="http://wap.wugongshan.cn/page/strategyList!info.htm?id=1297" TargetMode="External" Id="rId4"/><Relationship Type="http://schemas.openxmlformats.org/officeDocument/2006/relationships/hyperlink" Target="http://wap.wugongshan.cn/page/strategyList!info.htm?id=1293" TargetMode="External" Id="rId5"/><Relationship Type="http://schemas.openxmlformats.org/officeDocument/2006/relationships/hyperlink" Target="http://wap.wugongshan.cn/page/strategyList!info.htm?id=1228" TargetMode="External" Id="rId6"/><Relationship Type="http://schemas.openxmlformats.org/officeDocument/2006/relationships/hyperlink" Target="https://www.douban.com/group/topic/30742477/" TargetMode="External" Id="rId7"/><Relationship Type="http://schemas.openxmlformats.org/officeDocument/2006/relationships/hyperlink" Target="https://bbs.8264.com/thread-2279795-1-1.html" TargetMode="External" Id="rId8"/><Relationship Type="http://schemas.openxmlformats.org/officeDocument/2006/relationships/hyperlink" Target="https://www.douban.com/group/topic/244979629/" TargetMode="External" Id="rId9"/><Relationship Type="http://schemas.openxmlformats.org/officeDocument/2006/relationships/hyperlink" Target="https://www.douban.com/group/topic/287032716/" TargetMode="External" Id="rId10"/><Relationship Type="http://schemas.openxmlformats.org/officeDocument/2006/relationships/hyperlink" Target="https://www.jianshu.com/p/b1e2ca31a9c3" TargetMode="External" Id="rId11"/><Relationship Type="http://schemas.openxmlformats.org/officeDocument/2006/relationships/hyperlink" Target="https://www.jianshu.com/p/b740595834db" TargetMode="External" Id="rId12"/><Relationship Type="http://schemas.openxmlformats.org/officeDocument/2006/relationships/hyperlink" Target="https://www.sohu.com/a/836540158_102484" TargetMode="External" Id="rId13"/><Relationship Type="http://schemas.openxmlformats.org/officeDocument/2006/relationships/hyperlink" Target="https://m.sohu.com/a/980145718_122593874" TargetMode="External" Id="rId14"/></Relationships>
</file>

<file path=xl/worksheets/_rels/sheet3.xml.rels><Relationships xmlns="http://schemas.openxmlformats.org/package/2006/relationships"><Relationship Type="http://schemas.openxmlformats.org/officeDocument/2006/relationships/hyperlink" Target="http://wap.wugongshan.cn/page/strategyList!info.htm?id=104" TargetMode="External" Id="rId1"/><Relationship Type="http://schemas.openxmlformats.org/officeDocument/2006/relationships/hyperlink" Target="http://wap.wugongshan.cn/page/strategyList!info.htm?id=103" TargetMode="External" Id="rId2"/><Relationship Type="http://schemas.openxmlformats.org/officeDocument/2006/relationships/hyperlink" Target="http://wap.wugongshan.cn/page/strategyList!info.htm?id=188" TargetMode="External" Id="rId3"/><Relationship Type="http://schemas.openxmlformats.org/officeDocument/2006/relationships/hyperlink" Target="http://wap.wugongshan.cn/page/strategyList!info.htm?id=1297" TargetMode="External" Id="rId4"/><Relationship Type="http://schemas.openxmlformats.org/officeDocument/2006/relationships/hyperlink" Target="http://wap.wugongshan.cn/page/strategyList!info.htm?id=1293" TargetMode="External" Id="rId5"/><Relationship Type="http://schemas.openxmlformats.org/officeDocument/2006/relationships/hyperlink" Target="http://wap.wugongshan.cn/page/strategyList!info.htm?id=1228" TargetMode="External" Id="rId6"/><Relationship Type="http://schemas.openxmlformats.org/officeDocument/2006/relationships/hyperlink" Target="https://www.douban.com/group/topic/30742477/" TargetMode="External" Id="rId7"/><Relationship Type="http://schemas.openxmlformats.org/officeDocument/2006/relationships/hyperlink" Target="https://bbs.8264.com/thread-2279795-1-1.html" TargetMode="External" Id="rId8"/><Relationship Type="http://schemas.openxmlformats.org/officeDocument/2006/relationships/hyperlink" Target="https://www.douban.com/group/topic/244979629/" TargetMode="External" Id="rId9"/><Relationship Type="http://schemas.openxmlformats.org/officeDocument/2006/relationships/hyperlink" Target="https://www.douban.com/group/topic/287032716/" TargetMode="External" Id="rId10"/><Relationship Type="http://schemas.openxmlformats.org/officeDocument/2006/relationships/hyperlink" Target="https://www.jianshu.com/p/b1e2ca31a9c3" TargetMode="External" Id="rId11"/><Relationship Type="http://schemas.openxmlformats.org/officeDocument/2006/relationships/hyperlink" Target="https://www.jianshu.com/p/b740595834db" TargetMode="External" Id="rId12"/><Relationship Type="http://schemas.openxmlformats.org/officeDocument/2006/relationships/hyperlink" Target="https://www.sohu.com/a/836540158_102484" TargetMode="External" Id="rId13"/><Relationship Type="http://schemas.openxmlformats.org/officeDocument/2006/relationships/hyperlink" Target="https://m.sohu.com/a/980145718_122593874" TargetMode="External" Id="rId14"/></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8" customWidth="1" min="1" max="1"/>
    <col width="34" customWidth="1" min="2" max="2"/>
    <col width="18" customWidth="1" min="3" max="3"/>
    <col width="18" customWidth="1" min="4" max="4"/>
  </cols>
  <sheetData>
    <row r="1" ht="32" customHeight="1">
      <c r="A1" s="1" t="inlineStr">
        <is>
          <t>武功山景区指南数据集（项目1：数据采集与预处理）</t>
        </is>
      </c>
    </row>
    <row r="3" ht="22" customHeight="1">
      <c r="A3" s="2" t="inlineStr">
        <is>
          <t>数据集名称</t>
        </is>
      </c>
      <c r="B3" s="3" t="inlineStr">
        <is>
          <t>武功山景区游览指南文本数据集</t>
        </is>
      </c>
    </row>
    <row r="4" ht="22" customHeight="1">
      <c r="A4" s="2" t="inlineStr">
        <is>
          <t>数据集版本</t>
        </is>
      </c>
      <c r="B4" s="3" t="inlineStr">
        <is>
          <t>v1.0</t>
        </is>
      </c>
    </row>
    <row r="5" ht="22" customHeight="1">
      <c r="A5" s="2" t="inlineStr">
        <is>
          <t>覆盖景区</t>
        </is>
      </c>
      <c r="B5" s="3" t="inlineStr">
        <is>
          <t>武功山</t>
        </is>
      </c>
    </row>
    <row r="6" ht="22" customHeight="1">
      <c r="A6" s="2" t="inlineStr">
        <is>
          <t>采集日期</t>
        </is>
      </c>
      <c r="B6" s="3" t="inlineStr">
        <is>
          <t>2026-10-28</t>
        </is>
      </c>
    </row>
    <row r="7" ht="22" customHeight="1">
      <c r="A7" s="2" t="inlineStr">
        <is>
          <t>记录总数</t>
        </is>
      </c>
      <c r="B7" s="3" t="n">
        <v>14</v>
      </c>
    </row>
    <row r="8" ht="22" customHeight="1">
      <c r="A8" s="2" t="inlineStr">
        <is>
          <t>有效记录</t>
        </is>
      </c>
      <c r="B8" s="3" t="n">
        <v>13</v>
      </c>
    </row>
    <row r="9" ht="22" customHeight="1">
      <c r="A9" s="2" t="inlineStr">
        <is>
          <t>官方路线</t>
        </is>
      </c>
      <c r="B9" s="3" t="inlineStr">
        <is>
          <t>6 条（有效 6 条）</t>
        </is>
      </c>
    </row>
    <row r="10" ht="22" customHeight="1">
      <c r="A10" s="2" t="inlineStr">
        <is>
          <t>游客游记</t>
        </is>
      </c>
      <c r="B10" s="3" t="inlineStr">
        <is>
          <t>8 条（有效 7 条）</t>
        </is>
      </c>
    </row>
    <row r="11" ht="22" customHeight="1">
      <c r="A11" s="2" t="inlineStr">
        <is>
          <t>字段口径</t>
        </is>
      </c>
      <c r="B11" s="3" t="inlineStr">
        <is>
          <t>见“03_字段字典”；原始内容与清洗后内容均保留，便于对照复核</t>
        </is>
      </c>
    </row>
    <row r="12" ht="22" customHeight="1">
      <c r="A12" s="2" t="inlineStr">
        <is>
          <t>质量结论</t>
        </is>
      </c>
      <c r="B12" s="3" t="inlineStr">
        <is>
          <t>达到任务书“≥1 条官方路线、≥3 篇有效游记”的要求</t>
        </is>
      </c>
    </row>
    <row r="13" ht="22" customHeight="1">
      <c r="A13" s="2" t="inlineStr">
        <is>
          <t>使用声明</t>
        </is>
      </c>
      <c r="B13" s="3" t="inlineStr">
        <is>
          <t>数据仅用于《数据挖掘》课程实验，版权归原作者/平台所有；引用请标注来源链接</t>
        </is>
      </c>
    </row>
    <row r="14" ht="22" customHeight="1">
      <c r="A14" s="2" t="inlineStr">
        <is>
          <t>生成时间</t>
        </is>
      </c>
      <c r="B14" s="3" t="inlineStr">
        <is>
          <t>2026-10-28 19:17:07</t>
        </is>
      </c>
    </row>
    <row r="15" ht="22" customHeight="1">
      <c r="A15" s="2" t="inlineStr">
        <is>
          <t>生成脚本</t>
        </is>
      </c>
      <c r="B15" s="3" t="inlineStr">
        <is>
          <t>src/build_dataset.py（采集 collect.py / 抽取 extract.py / 清洗 clean.py）</t>
        </is>
      </c>
    </row>
  </sheetData>
  <mergeCells count="14">
    <mergeCell ref="B10:D10"/>
    <mergeCell ref="A1:D1"/>
    <mergeCell ref="B11:D11"/>
    <mergeCell ref="B3:D3"/>
    <mergeCell ref="B5:D5"/>
    <mergeCell ref="B14:D14"/>
    <mergeCell ref="B15:D15"/>
    <mergeCell ref="B8:D8"/>
    <mergeCell ref="B4:D4"/>
    <mergeCell ref="B9:D9"/>
    <mergeCell ref="B13:D13"/>
    <mergeCell ref="B12:D12"/>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10" customWidth="1" min="3" max="3"/>
    <col width="16" customWidth="1" min="4" max="4"/>
    <col width="30" customWidth="1" min="5" max="5"/>
    <col width="14" customWidth="1" min="6" max="6"/>
    <col width="11" customWidth="1" min="7" max="7"/>
    <col width="18" customWidth="1" min="8" max="8"/>
    <col width="38" customWidth="1" min="9" max="9"/>
    <col width="22" customWidth="1" min="10" max="10"/>
    <col width="60" customWidth="1" min="11" max="11"/>
    <col width="60" customWidth="1" min="12" max="12"/>
    <col width="9" customWidth="1" min="13" max="13"/>
    <col width="10" customWidth="1" min="14" max="14"/>
    <col width="9" customWidth="1" min="15" max="15"/>
    <col width="8" customWidth="1" min="16" max="16"/>
    <col width="8" customWidth="1" min="17" max="17"/>
    <col width="8" customWidth="1" min="18" max="18"/>
    <col width="8" customWidth="1" min="19" max="19"/>
    <col width="24" customWidth="1" min="20" max="20"/>
    <col width="8" customWidth="1" min="21" max="21"/>
  </cols>
  <sheetData>
    <row r="1">
      <c r="A1" s="4" t="inlineStr">
        <is>
          <t>记录ID</t>
        </is>
      </c>
      <c r="B1" s="4" t="inlineStr">
        <is>
          <t>景区</t>
        </is>
      </c>
      <c r="C1" s="4" t="inlineStr">
        <is>
          <t>文本类型</t>
        </is>
      </c>
      <c r="D1" s="4" t="inlineStr">
        <is>
          <t>子类型</t>
        </is>
      </c>
      <c r="E1" s="4" t="inlineStr">
        <is>
          <t>标题</t>
        </is>
      </c>
      <c r="F1" s="4" t="inlineStr">
        <is>
          <t>作者</t>
        </is>
      </c>
      <c r="G1" s="4" t="inlineStr">
        <is>
          <t>发布时间</t>
        </is>
      </c>
      <c r="H1" s="4" t="inlineStr">
        <is>
          <t>来源站点</t>
        </is>
      </c>
      <c r="I1" s="4" t="inlineStr">
        <is>
          <t>来源链接</t>
        </is>
      </c>
      <c r="J1" s="4" t="inlineStr">
        <is>
          <t>抽取规则</t>
        </is>
      </c>
      <c r="K1" s="4" t="inlineStr">
        <is>
          <t>原始内容</t>
        </is>
      </c>
      <c r="L1" s="4" t="inlineStr">
        <is>
          <t>清洗后内容</t>
        </is>
      </c>
      <c r="M1" s="4" t="inlineStr">
        <is>
          <t>原始字数</t>
        </is>
      </c>
      <c r="N1" s="4" t="inlineStr">
        <is>
          <t>清洗后字数</t>
        </is>
      </c>
      <c r="O1" s="4" t="inlineStr">
        <is>
          <t>删除比例</t>
        </is>
      </c>
      <c r="P1" s="4" t="inlineStr">
        <is>
          <t>噪声行</t>
        </is>
      </c>
      <c r="Q1" s="4" t="inlineStr">
        <is>
          <t>表情</t>
        </is>
      </c>
      <c r="R1" s="4" t="inlineStr">
        <is>
          <t>链接</t>
        </is>
      </c>
      <c r="S1" s="4" t="inlineStr">
        <is>
          <t>重复段</t>
        </is>
      </c>
      <c r="T1" s="4" t="inlineStr">
        <is>
          <t>质量标记</t>
        </is>
      </c>
      <c r="U1" s="4" t="inlineStr">
        <is>
          <t>是否有效</t>
        </is>
      </c>
    </row>
    <row r="2" ht="90" customHeight="1">
      <c r="A2" s="5" t="inlineStr">
        <is>
          <t>WGS-O-01</t>
        </is>
      </c>
      <c r="B2" s="5" t="inlineStr">
        <is>
          <t>武功山</t>
        </is>
      </c>
      <c r="C2" s="5" t="inlineStr">
        <is>
          <t>官方路线</t>
        </is>
      </c>
      <c r="D2" s="5" t="inlineStr">
        <is>
          <t>徒步一日游</t>
        </is>
      </c>
      <c r="E2" s="6" t="inlineStr">
        <is>
          <t>户外体验一日游</t>
        </is>
      </c>
      <c r="F2" s="5" t="inlineStr">
        <is>
          <t>武功山景区管理员</t>
        </is>
      </c>
      <c r="G2" s="5" t="inlineStr">
        <is>
          <t>2017-06-25</t>
        </is>
      </c>
      <c r="H2" s="5" t="inlineStr">
        <is>
          <t>萍乡武功山景区官网</t>
        </is>
      </c>
      <c r="I2" s="7" t="inlineStr">
        <is>
          <t>http://wap.wugongshan.cn/page/strategyList!info.htm?id=104</t>
        </is>
      </c>
      <c r="J2" s="5" t="inlineStr">
        <is>
          <t>官网-富文本div.raid-main</t>
        </is>
      </c>
      <c r="K2" s="6" t="inlineStr">
        <is>
          <t>简要行程
路线：石鼓寺--尽心桥--飙水岩瀑布--猴谷--紫极宫（中庵）--吊马桩--金顶(古祭坛群、环形栈道)--武功山神--武功神拳--金顶索道（或徒步走草甸之舟--狮象峰 --武功泉--情人花廊--福星谷）--高空栈道--许愿桥（悬索桥）--福星谷--紫极宫（中庵）-- 中庵索道--石鼓寺。
温馨提示：选择一日徒步游的游客，应合理安排好时间，正常体力的游客们可以在7小时内完成往返。由于徒步登山耗费体力较多，建议带上一些干粮和水。</t>
        </is>
      </c>
      <c r="L2" s="6" t="inlineStr">
        <is>
          <t>简要行程
路线：石鼓寺--尽心桥--飙水岩瀑布--猴谷--紫极宫（中庵）--吊马桩--金顶(古祭坛群、环形栈道)--武功山神--武功神拳--金顶索道（或徒步走草甸之舟--狮象峰 --武功泉--情人花廊--福星谷）--高空栈道--许愿桥（悬索桥）--福星谷--紫极宫（中庵）-- 中庵索道--石鼓寺。
温馨提示：选择一日徒步游的游客，应合理安排好时间，正常体力的游客们可以在7小时内完成往返。由于徒步登山耗费体力较多，建议带上一些干粮和水。</t>
        </is>
      </c>
      <c r="M2" s="5" t="n">
        <v>215</v>
      </c>
      <c r="N2" s="5" t="n">
        <v>215</v>
      </c>
      <c r="O2" s="5" t="n">
        <v>0</v>
      </c>
      <c r="P2" s="5" t="n">
        <v>0</v>
      </c>
      <c r="Q2" s="5" t="n">
        <v>0</v>
      </c>
      <c r="R2" s="5" t="n">
        <v>0</v>
      </c>
      <c r="S2" s="5" t="n">
        <v>0</v>
      </c>
      <c r="T2" s="6" t="inlineStr">
        <is>
          <t>无</t>
        </is>
      </c>
      <c r="U2" s="5" t="inlineStr">
        <is>
          <t>是</t>
        </is>
      </c>
    </row>
    <row r="3" ht="90" customHeight="1">
      <c r="A3" s="5" t="inlineStr">
        <is>
          <t>WGS-O-02</t>
        </is>
      </c>
      <c r="B3" s="5" t="inlineStr">
        <is>
          <t>武功山</t>
        </is>
      </c>
      <c r="C3" s="5" t="inlineStr">
        <is>
          <t>官方路线</t>
        </is>
      </c>
      <c r="D3" s="5" t="inlineStr">
        <is>
          <t>索道观光一日游</t>
        </is>
      </c>
      <c r="E3" s="6" t="inlineStr">
        <is>
          <t>休闲观光一日游</t>
        </is>
      </c>
      <c r="F3" s="5" t="inlineStr">
        <is>
          <t>武功山景区管理员</t>
        </is>
      </c>
      <c r="G3" s="5" t="inlineStr">
        <is>
          <t>2017-06-25</t>
        </is>
      </c>
      <c r="H3" s="5" t="inlineStr">
        <is>
          <t>萍乡武功山景区官网</t>
        </is>
      </c>
      <c r="I3" s="7" t="inlineStr">
        <is>
          <t>http://wap.wugongshan.cn/page/strategyList!info.htm?id=103</t>
        </is>
      </c>
      <c r="J3" s="5" t="inlineStr">
        <is>
          <t>官网-富文本div.raid-main</t>
        </is>
      </c>
      <c r="K3" s="6" t="inlineStr">
        <is>
          <t>简要行程
路线设计：石鼓寺—中庵索道—紫极宫（中庵）--福星谷—许愿桥（悬索桥）--高空栈道—金顶索道—武功神拳—武功山神—金顶(古祭坛群、环形栈道)—金顶索道（或走高空栈道—许愿桥（悬索桥）—福星谷）—松园—可选择乘坐高空滑索—福星谷—紫极宫（中庵）—中庵索道—石鼓寺；在武功山中安度假餐厅用午餐后返程。
温馨提示：全程索道是最为轻松休闲的体验游，所走的是景区打造的精品游玩路线，所看的景色也是独一无二最为人称赞的，观看云海的绝佳之地。所花费的时间来回大约是在五个小时以内，体力好的可能只需3小时便可完成来回。</t>
        </is>
      </c>
      <c r="L3" s="6" t="inlineStr">
        <is>
          <t>简要行程
路线设计：石鼓寺—中庵索道—紫极宫（中庵）--福星谷—许愿桥（悬索桥）--高空栈道—金顶索道—武功神拳—武功山神—金顶(古祭坛群、环形栈道)—金顶索道（或走高空栈道—许愿桥（悬索桥）—福星谷）—松园—可选择乘坐高空滑索—福星谷—紫极宫（中庵）—中庵索道—石鼓寺；在武功山中安度假餐厅用午餐后返程。
温馨提示：全程索道是最为轻松休闲的体验游，所走的是景区打造的精品游玩路线，所看的景色也是独一无二最为人称赞的，观看云海的绝佳之地。所花费的时间来回大约是在五个小时以内，体力好的可能只需3小时便可完成来回。</t>
        </is>
      </c>
      <c r="M3" s="5" t="n">
        <v>254</v>
      </c>
      <c r="N3" s="5" t="n">
        <v>254</v>
      </c>
      <c r="O3" s="5" t="n">
        <v>0</v>
      </c>
      <c r="P3" s="5" t="n">
        <v>0</v>
      </c>
      <c r="Q3" s="5" t="n">
        <v>0</v>
      </c>
      <c r="R3" s="5" t="n">
        <v>0</v>
      </c>
      <c r="S3" s="5" t="n">
        <v>0</v>
      </c>
      <c r="T3" s="6" t="inlineStr">
        <is>
          <t>无</t>
        </is>
      </c>
      <c r="U3" s="5" t="inlineStr">
        <is>
          <t>是</t>
        </is>
      </c>
    </row>
    <row r="4" ht="90" customHeight="1">
      <c r="A4" s="5" t="inlineStr">
        <is>
          <t>WGS-O-03</t>
        </is>
      </c>
      <c r="B4" s="5" t="inlineStr">
        <is>
          <t>武功山</t>
        </is>
      </c>
      <c r="C4" s="5" t="inlineStr">
        <is>
          <t>官方路线</t>
        </is>
      </c>
      <c r="D4" s="5" t="inlineStr">
        <is>
          <t>两日游</t>
        </is>
      </c>
      <c r="E4" s="6" t="inlineStr">
        <is>
          <t>生态武功山+红色安源两日游</t>
        </is>
      </c>
      <c r="F4" s="5" t="inlineStr">
        <is>
          <t>武功山景区管理员</t>
        </is>
      </c>
      <c r="G4" s="5" t="inlineStr">
        <is>
          <t>2017-07-24</t>
        </is>
      </c>
      <c r="H4" s="5" t="inlineStr">
        <is>
          <t>萍乡武功山景区官网</t>
        </is>
      </c>
      <c r="I4" s="7" t="inlineStr">
        <is>
          <t>http://wap.wugongshan.cn/page/strategyList!info.htm?id=188</t>
        </is>
      </c>
      <c r="J4" s="5" t="inlineStr">
        <is>
          <t>官网-富文本div.raid-main</t>
        </is>
      </c>
      <c r="K4" s="6" t="inlineStr">
        <is>
          <t>生态武功山两日游
古代江南三大名山之一。海拔1918.3米,其类型与特色被专家概括为“山景雄秀、瀑布独特、草甸奇观、生态优良、天象称奇、人文荟萃”24个字。景区分为金顶、九龙山、发云界、羊狮幕四大景区。区内10万亩高山草甸碧波连天、一望无际
D1：
游览由邓小平题写馆名的全国优秀教育基地——【安源路矿工人运动纪念馆】（1个小时），这里山清树绿花艳，这里展示从1898年安源开矿至1930年这段辉煌历史，后游览建于20世纪20年代初期由工人出资建造的中国工人阶级的第一座大厦——安源路矿工人俱乐部（15分钟），以及毛泽东去安源铜像、总平巷口，盛公祠等景点。后游览萍乡市一级博物馆“萍乡市博物馆”，了解赣西风土人情。后游览江南第一大广场—【秋收起义广场】，在海天情酒楼用完晚餐之后入住萍乡安源宾馆。
D2:
乘车前往国家AAAAA级景区武功山风景区（车程约1小时，游览约4小时），武功山雄奇险峻，景色迷人，自古为江南三大名山之一，有“衡首庐尾武功中”之美誉。武功山是大自然鬼斧神工的杰作，是人类文化的瑰宝，是世界罕见的养生胜境。抵达后乘坐中庵索道上山（费用自理，索道上山约10分钟）。坐索道可以欣赏武功山竹海，行走游览中庵紫极宫（15分钟）游福星谷、问道台、松涛阁、许愿石、观武功山奇松怪石与石林风光，高空悬索桥、福星谷栈道，可选择金顶索道上山或步行上山（金顶索道费用自理，索道上山时间约8分钟）。到达十万亩云中草原，尽情感受大草原的气息；游距今1700多年的神秘古祭坛群；征服武功山金顶最高点（1.5小时左右），纵揽湘赣风云；体验天苍苍野茫茫的“江南塞北”。在景鸿葡萄农庄用完午餐之后返回温馨的家。
温馨提示：全程索道是最为轻松休闲的体验游，所走的是景区打造的精品游玩路线，所看的景色也是独一无二最为人称赞的，观看云海的绝佳之地。所花费的时间来回大约是在五个小时以内，体力好的可能只需3小时便可完成来回。
索道：中庵索道上行65元下行55元， 金顶索道上行45元下行35元。</t>
        </is>
      </c>
      <c r="L4" s="6" t="inlineStr">
        <is>
          <t>生态武功山两日游
古代江南三大名山之一。海拔1918.3米,其类型与特色被专家概括为“山景雄秀、瀑布独特、草甸奇观、生态优良、天象称奇、人文荟萃”24个字。景区分为金顶、九龙山、发云界、羊狮幕四大景区。区内10万亩高山草甸碧波连天、一望无际
D1：
游览由邓小平题写馆名的全国优秀教育基地——【安源路矿工人运动纪念馆】（1个小时），这里山清树绿花艳，这里展示从1898年安源开矿至1930年这段辉煌历史，后游览建于20世纪20年代初期由工人出资建造的中国工人阶级的第一座大厦——安源路矿工人俱乐部（15分钟），以及毛泽东去安源铜像、总平巷口，盛公祠等景点。后游览萍乡市一级博物馆“萍乡市博物馆”，了解赣西风土人情。后游览江南第一大广场—【秋收起义广场】，在海天情酒楼用完晚餐之后入住萍乡安源宾馆。
D2:
乘车前往国家AAAAA级景区武功山风景区（车程约1小时，游览约4小时），武功山雄奇险峻，景色迷人，自古为江南三大名山之一，有“衡首庐尾武功中”之美誉。武功山是大自然鬼斧神工的杰作，是人类文化的瑰宝，是世界罕见的养生胜境。抵达后乘坐中庵索道上山（费用自理，索道上山约10分钟）。坐索道可以欣赏武功山竹海，行走游览中庵紫极宫（15分钟）游福星谷、问道台、松涛阁、许愿石、观武功山奇松怪石与石林风光，高空悬索桥、福星谷栈道，可选择金顶索道上山或步行上山（金顶索道费用自理，索道上山时间约8分钟）。到达十万亩云中草原，尽情感受大草原的气息；游距今1700多年的神秘古祭坛群；征服武功山金顶最高点（1.5小时左右），纵揽湘赣风云；体验天苍苍野茫茫的“江南塞北”。在景鸿葡萄农庄用完午餐之后返回温馨的家。
温馨提示：全程索道是最为轻松休闲的体验游，所走的是景区打造的精品游玩路线，所看的景色也是独一无二最为人称赞的，观看云海的绝佳之地。所花费的时间来回大约是在五个小时以内，体力好的可能只需3小时便可完成来回。
索道：中庵索道上行65元下行55元， 金顶索道上行45元下行35元。</t>
        </is>
      </c>
      <c r="M4" s="5" t="n">
        <v>829</v>
      </c>
      <c r="N4" s="5" t="n">
        <v>829</v>
      </c>
      <c r="O4" s="5" t="n">
        <v>0</v>
      </c>
      <c r="P4" s="5" t="n">
        <v>0</v>
      </c>
      <c r="Q4" s="5" t="n">
        <v>0</v>
      </c>
      <c r="R4" s="5" t="n">
        <v>0</v>
      </c>
      <c r="S4" s="5" t="n">
        <v>0</v>
      </c>
      <c r="T4" s="6" t="inlineStr">
        <is>
          <t>无</t>
        </is>
      </c>
      <c r="U4" s="5" t="inlineStr">
        <is>
          <t>是</t>
        </is>
      </c>
    </row>
    <row r="5" ht="90" customHeight="1">
      <c r="A5" s="5" t="inlineStr">
        <is>
          <t>WGS-O-04</t>
        </is>
      </c>
      <c r="B5" s="5" t="inlineStr">
        <is>
          <t>武功山</t>
        </is>
      </c>
      <c r="C5" s="5" t="inlineStr">
        <is>
          <t>官方路线</t>
        </is>
      </c>
      <c r="D5" s="5" t="inlineStr">
        <is>
          <t>露营两日游</t>
        </is>
      </c>
      <c r="E5" s="6" t="inlineStr">
        <is>
          <t>武功山帐篷露营两日游</t>
        </is>
      </c>
      <c r="F5" s="5" t="inlineStr">
        <is>
          <t>武功山景区管理员</t>
        </is>
      </c>
      <c r="G5" s="5" t="inlineStr">
        <is>
          <t>2019-10-15</t>
        </is>
      </c>
      <c r="H5" s="5" t="inlineStr">
        <is>
          <t>萍乡武功山景区官网</t>
        </is>
      </c>
      <c r="I5" s="7" t="inlineStr">
        <is>
          <t>http://wap.wugongshan.cn/page/strategyList!info.htm?id=1297</t>
        </is>
      </c>
      <c r="J5" s="5" t="inlineStr">
        <is>
          <t>官网-富文本div.raid-main</t>
        </is>
      </c>
      <c r="K5" s="6" t="inlineStr">
        <is>
          <t>武功山的高山草甸海拔之高，面积之广在世界同纬度名山中都是绝无仅有的。10万亩草甸绵绵于海拔1600多米的高山之巅，穿云入雾，真可谓“天上草原、人间仙境、北国风光、绿色家园”，被专家称为“奇山伴草甸，天下一绝。”
D1：
在武功山商业街用完午餐，乘坐观光车到达石鼓寺。感受禅宗文化和神秘傩文化，然后乘坐中庵索道上山（10分钟。索道自理65元）,游中庵紫极宫.走空中栈道、福星谷、许愿桥、玻璃眺台，可乘坐金顶索道（8分钟、索道自理45元）欣赏武功神拳、武功山神，走环形木栈道到达山顶，欣赏江南一绝---高山草甸 (20分钟).在山顶欣赏完后，步行到达帐篷营地扎营。在金顶餐厅用晚餐后结束今天的行程。
备注：露营作为一种假日生活体验，山上露营条件有限，切勿擅自单独行动；注意个人人身及财产安全。
D2：
早上5：30左右起床看日出, 用完早餐后。云中漫步十万亩天上草原，尽情感受初春“江南塞北”大草原的气息；游距今1700多年的神秘古祭坛群；征服江西最高峰武功山金顶——体验万里云山齐到眼，九宵日月可摩肩，纵揽湘赣风云,走吊马桩，灵鼠朝王爷下山。到达中庵。可选择乘坐索道，下山到达山脚下集合(二级下35元，一级下55元自理)，后车赴游览【武功山红岩谷景区】（正常行车20分钟），游览七仙潭（15分钟）听七仙女的传说、红岩瀑（15分钟），观情比金坚的夫妻瀑（15分钟）、一木成林，赏落差高达120米的金壶洒酒瀑布（15分钟）等瀑布群（游览时间不少于3小时），尽情享受武功山千瀑红岩谷的魅力山水。在景鸿葡萄农庄用午餐，愉快的行程结束!
露营注意事项：
1、作为一种假日生活体验，山上露营条件有限，请悉心听从导游安排，切勿擅自单独行动；不要穿皮鞋以防脚被扭伤，尽量穿旅游鞋或软底布鞋；照相取景时注意安全，互相礼让，不要拥挤。
2、请游客携带洗漱、雨伞等个人出行用品；山上气温较低，请自备厚外套；
3、游客在游览的过程中应注意自我人身安全防护，妥善保管个人物品。</t>
        </is>
      </c>
      <c r="L5" s="6" t="inlineStr">
        <is>
          <t>武功山的高山草甸海拔之高，面积之广在世界同纬度名山中都是绝无仅有的。10万亩草甸绵绵于海拔1600多米的高山之巅，穿云入雾，真可谓“天上草原、人间仙境、北国风光、绿色家园”，被专家称为“奇山伴草甸，天下一绝。”
D1：
在武功山商业街用完午餐，乘坐观光车到达石鼓寺。感受禅宗文化和神秘傩文化，然后乘坐中庵索道上山（10分钟。索道自理65元）,游中庵紫极宫.走空中栈道、福星谷、许愿桥、玻璃眺台，可乘坐金顶索道（8分钟、索道自理45元）欣赏武功神拳、武功山神，走环形木栈道到达山顶，欣赏江南一绝---高山草甸 (20分钟).在山顶欣赏完后，步行到达帐篷营地扎营。在金顶餐厅用晚餐后结束今天的行程。
备注：露营作为一种假日生活体验，山上露营条件有限，切勿擅自单独行动；注意个人人身及财产安全。
D2：
早上5：30左右起床看日出, 用完早餐后。云中漫步十万亩天上草原，尽情感受初春“江南塞北”大草原的气息；游距今1700多年的神秘古祭坛群；征服江西最高峰武功山金顶——体验万里云山齐到眼，九宵日月可摩肩，纵揽湘赣风云,走吊马桩，灵鼠朝王爷下山。到达中庵。可选择乘坐索道，下山到达山脚下集合(二级下35元，一级下55元自理)，后车赴游览【武功山红岩谷景区】（正常行车20分钟），游览七仙潭（15分钟）听七仙女的传说、红岩瀑（15分钟），观情比金坚的夫妻瀑（15分钟）、一木成林，赏落差高达120米的金壶洒酒瀑布（15分钟）等瀑布群（游览时间不少于3小时），尽情享受武功山千瀑红岩谷的魅力山水。在景鸿葡萄农庄用午餐，愉快的行程结束!
露营注意事项：
1、作为一种假日生活体验，山上露营条件有限，请悉心听从导游安排，切勿擅自单独行动；不要穿皮鞋以防脚被扭伤，尽量穿旅游鞋或软底布鞋；照相取景时注意安全，互相礼让，不要拥挤。
2、请游客携带洗漱、雨伞等个人出行用品；山上气温较低，请自备厚外套；
3、游客在游览的过程中应注意自我人身安全防护，妥善保管个人物品。</t>
        </is>
      </c>
      <c r="M5" s="5" t="n">
        <v>813</v>
      </c>
      <c r="N5" s="5" t="n">
        <v>813</v>
      </c>
      <c r="O5" s="5" t="n">
        <v>0</v>
      </c>
      <c r="P5" s="5" t="n">
        <v>0</v>
      </c>
      <c r="Q5" s="5" t="n">
        <v>0</v>
      </c>
      <c r="R5" s="5" t="n">
        <v>0</v>
      </c>
      <c r="S5" s="5" t="n">
        <v>0</v>
      </c>
      <c r="T5" s="6" t="inlineStr">
        <is>
          <t>无</t>
        </is>
      </c>
      <c r="U5" s="5" t="inlineStr">
        <is>
          <t>是</t>
        </is>
      </c>
    </row>
    <row r="6" ht="90" customHeight="1">
      <c r="A6" s="5" t="inlineStr">
        <is>
          <t>WGS-O-05</t>
        </is>
      </c>
      <c r="B6" s="5" t="inlineStr">
        <is>
          <t>武功山</t>
        </is>
      </c>
      <c r="C6" s="5" t="inlineStr">
        <is>
          <t>官方路线</t>
        </is>
      </c>
      <c r="D6" s="5" t="inlineStr">
        <is>
          <t>两日游攻略</t>
        </is>
      </c>
      <c r="E6" s="6" t="inlineStr">
        <is>
          <t>最强攻略 | 武功山两日游</t>
        </is>
      </c>
      <c r="F6" s="5" t="inlineStr">
        <is>
          <t>武功山景区管理员</t>
        </is>
      </c>
      <c r="G6" s="5" t="inlineStr">
        <is>
          <t>2019-10-15</t>
        </is>
      </c>
      <c r="H6" s="5" t="inlineStr">
        <is>
          <t>萍乡武功山景区官网</t>
        </is>
      </c>
      <c r="I6" s="7" t="inlineStr">
        <is>
          <t>http://wap.wugongshan.cn/page/strategyList!info.htm?id=1293</t>
        </is>
      </c>
      <c r="J6" s="5" t="inlineStr">
        <is>
          <t>官网-富文本div.raid-main</t>
        </is>
      </c>
      <c r="K6" s="6" t="inlineStr">
        <is>
          <t>武功山
一线天过入仙境
雾绕云缠崖石倩
观音驾鹤南海去
留的芳名在人间
国家地理杂志将它列为
“十大非著名山峰”之一
人们称它为“户外天堂”
现在小武即将介绍一条经典路线
许多小伙伴都是坐火车来萍乡
不管是高铁站还是火车站
都能很方便的来武功山
土豪方式：直接包车进山，具体价格看车型
勤俭持家：车站都有直达景区的车，23元搞定
淡季时高铁站景区直通车比较少
建议小伙伴们前往火车站坐车
现在景区施行全封闭管理
私家车与公交车都只能到达游客服务中心
小伙伴们可以选择在公众号里购买门票
也可以选择在景区售票中心购票
当日购买地票价是70元
小武悄悄地说个小福利
在公众号里提前一天买票只需60元
（游客服务中心）
小伙伴可以选择全程徒步上山
也可以选择坐索道上山
小武真的强烈建议
一定要坐第一级索道上山
这样既不累，又能欣赏美景
此时万能小武上线
小伙伴们可以直接在订阅号里购买索道票
是不是很方便很简单
第一级索道是从石鼓寺到中庵
此段索道上行售价65元
私家车与公交车都只能到达游客服务中心
服务中心离山脚有5KM的路程
真心建议小伙伴们购买转运车车票
（第一级索道入口---山脚到中庵）
DAY-1
小伙伴们可以中午商业街吃午饭
商业街位于游客服务中心对面
午餐过后搭乘转运车至石鼓寺
之后即可乘坐中庵索道上山
乘坐索道时可远眺迎霞亭
尽心瀑、飞来石、寒婆岩皆在眼中
历时十分钟可到达中庵紫极宫
（紫极宫雪景）.
游览完紫极宫就可以徒步上山至金顶
期间可以去体验一下武功山玻璃栈道
在玻璃眺台远望武功山的秀美风景
此时上行可按以下线路前行
紫极宫→福星谷→许愿桥→玻璃栈道→回音谷→情人花廊→草甸之舟→古祭坛群→金顶
（福星谷栈道）
（许愿桥）
（玻璃眺台）
到达金顶之后
小伙伴肯定累的不行
此时可在金顶稍作休息
观赏高山草甸、落日及云海
金顶游完，拍完照
就可以从吊马桩方向开始下山
往观音宕方向前行
观音宕地处武功山中段
在发云界与吊马桩之间，海拔1600米
因为有两个非常开阔的盆地
使其成为历届武功山帐篷节的营地
而且在观音宕草甸星空露营地
晚上经常会有各种活动
因此小武晚上选择在此露营
可以跟自己小伙伴或其他驴友一起参加活动
一起看看星空、聊聊天，放空自我
（观音宕营地）
DAY-2
今天可以睡到自然醒
收拾好东西后即可准备下山
从观音宕下山可先行至吊马桩
从吊马桩往好汉坡方向前行
下山路线可按下文所示走
观音宕→吊马桩→好汉坡→滴水观音→猴谷→飚水瀑布→尽心瀑→石鼓寺
（吊马桩）
（好汉坡）
（尽心瀑）
现在处于丰水期
武功山上有大大小小几十个瀑布
爬山途中可以尽情观赏瀑布带来的震撼
此时也处于猴群活跃期
在猴谷很容易看到猴群活动
还可以看到更多的武功山野生动物
从观音宕徒步下山至石鼓寺需花费3-4H
下山后结束这次为期两天的武功山之旅
小伙伴们下山后记得及时放松腿部肌肉
希望大家看完这次小武的推荐
能对武功山了解更多
有任何关于武功山的问题都可以私信小武
小武会竭诚为各位小伙伴服务
最后来个此次行程大总结
课代表来划重点啦！！！
行程安排
第一天：萍乡车站--金顶--观音宕
1、上午到达萍乡，坐车至武功山风景区游客服务中心
2、中午在游客服务中心进行午餐，午餐结束后乘坐转运车至石鼓寺
3、乘坐中庵索道至紫极宫，开始徒步上山
4、抵达金顶，观看风景并拍照留念
5、从金顶徒步至观音宕草甸星空帐篷基地，晚上在此露营
第2天：观音宕--武功山正门--萍乡市区
1、早上自然醒之后收拾完毕开始准备下山
2、从观音宕行至吊马桩
3、一路下山，可以在猴谷歇息，坐等猴群出没
4、到达武功山正门，乘坐转运车至游客服务中心
5、乘坐武功山景区到市区的公交，结束为期两天的武功山之旅
【小武提醒】
1、乘坐火车必带身份证；不可携带管制刀具和户外气罐，无法通过安检
2、如果特别爱干净的朋友，建议携带自己的睡袋，这样晚上住宿的会舒服一些
3、晚上看星星，凌晨看日出，在海拔1600以上都较冷的，所以厚衣服一定要带上
出行装备
1、必备装备：双肩背包、登山鞋或运动鞋、外套、替换衣物、洗漱用品、有效证件、移动电源、皮肤风衣、防水袋、饮用水（杯）、适量现金、适量零食、一颗爱玩
爱闹宽容的心！
2、参考装备：雨具、手套、太阳帽、太阳镜、防晒油、充气枕头、垃圾袋等
3、参考药品：感冒药、藿香正气丸或黄连素、风油精、跌打药、止血帖等
这条路线就是《经典武功山路线》
“一条拥有绝佳的旅行节奏和丰富旅行体验的路线”</t>
        </is>
      </c>
      <c r="L6" s="6" t="inlineStr">
        <is>
          <t>武功山
一线天过入仙境
雾绕云缠崖石倩
观音驾鹤南海去
留的芳名在人间
国家地理杂志将它列为
“十大非著名山峰”之一
人们称它为“户外天堂”
现在小武即将介绍一条经典路线
许多小伙伴都是坐火车来萍乡
不管是高铁站还是火车站
都能很方便的来武功山
土豪方式：直接包车进山，具体价格看车型
勤俭持家：车站都有直达景区的车，23元搞定
淡季时高铁站景区直通车比较少
建议小伙伴们前往火车站坐车
现在景区施行全封闭管理
私家车与公交车都只能到达游客服务中心
小伙伴们可以选择在公众号里购买门票
也可以选择在景区售票中心购票
当日购买地票价是70元
小武悄悄地说个小福利
在公众号里提前一天买票只需60元
（游客服务中心）
小伙伴可以选择全程徒步上山
也可以选择坐索道上山
小武真的强烈建议
一定要坐第一级索道上山
这样既不累，又能欣赏美景
此时万能小武上线
小伙伴们可以直接在订阅号里购买索道票
是不是很方便很简单
第一级索道是从石鼓寺到中庵
此段索道上行售价65元
服务中心离山脚有5KM的路程
真心建议小伙伴们购买转运车车票
（第一级索道入口---山脚到中庵）
DAY-1
小伙伴们可以中午商业街吃午饭
商业街位于游客服务中心对面
午餐过后搭乘转运车至石鼓寺
之后即可乘坐中庵索道上山
乘坐索道时可远眺迎霞亭
尽心瀑、飞来石、寒婆岩皆在眼中
历时十分钟可到达中庵紫极宫
（紫极宫雪景）.
游览完紫极宫就可以徒步上山至金顶
期间可以去体验一下武功山玻璃栈道
在玻璃眺台远望武功山的秀美风景
此时上行可按以下线路前行
紫极宫→福星谷→许愿桥→玻璃栈道→回音谷→情人花廊→草甸之舟→古祭坛群→金顶
（福星谷栈道）
（许愿桥）
（玻璃眺台）
到达金顶之后
小伙伴肯定累的不行
此时可在金顶稍作休息
观赏高山草甸、落日及云海
金顶游完，拍完照
就可以从吊马桩方向开始下山
往观音宕方向前行
观音宕地处武功山中段
在发云界与吊马桩之间，海拔1600米
因为有两个非常开阔的盆地
使其成为历届武功山帐篷节的营地
而且在观音宕草甸星空露营地
晚上经常会有各种活动
因此小武晚上选择在此露营
可以跟自己小伙伴或其他驴友一起参加活动
一起看看星空、聊聊天，放空自我
（观音宕营地）
DAY-2
今天可以睡到自然醒
收拾好东西后即可准备下山
从观音宕下山可先行至吊马桩
从吊马桩往好汉坡方向前行
下山路线可按下文所示走
观音宕→吊马桩→好汉坡→滴水观音→猴谷→飚水瀑布→尽心瀑→石鼓寺
（吊马桩）
（好汉坡）
（尽心瀑）
现在处于丰水期
武功山上有大大小小几十个瀑布
爬山途中可以尽情观赏瀑布带来的震撼
此时也处于猴群活跃期
在猴谷很容易看到猴群活动
还可以看到更多的武功山野生动物
从观音宕徒步下山至石鼓寺需花费3-4H
下山后结束这次为期两天的武功山之旅
小伙伴们下山后记得及时放松腿部肌肉
希望大家看完这次小武的推荐
能对武功山了解更多
有任何关于武功山的问题都可以私信小武
小武会竭诚为各位小伙伴服务
最后来个此次行程大总结
课代表来划重点啦！
行程安排
第一天：萍乡车站--金顶--观音宕
1、上午到达萍乡，坐车至武功山风景区游客服务中心
2、中午在游客服务中心进行午餐，午餐结束后乘坐转运车至石鼓寺
3、乘坐中庵索道至紫极宫，开始徒步上山
4、抵达金顶，观看风景并拍照留念
5、从金顶徒步至观音宕草甸星空帐篷基地，晚上在此露营
第2天：观音宕--武功山正门--萍乡市区
1、早上自然醒之后收拾完毕开始准备下山
2、从观音宕行至吊马桩
3、一路下山，可以在猴谷歇息，坐等猴群出没
4、到达武功山正门，乘坐转运车至游客服务中心
5、乘坐武功山景区到市区的公交，结束为期两天的武功山之旅
【小武提醒】
1、乘坐火车必带身份证；不可携带管制刀具和户外气罐，无法通过安检
2、如果特别爱干净的朋友，建议携带自己的睡袋，这样晚上住宿的会舒服一些
3、晚上看星星，凌晨看日出，在海拔1600以上都较冷的，所以厚衣服一定要带上
出行装备
1、必备装备：双肩背包、登山鞋或运动鞋、外套、替换衣物、洗漱用品、有效证件、移动电源、皮肤风衣、防水袋、饮用水（杯）、适量现金、适量零食、一颗爱玩
爱闹宽容的心！
2、参考装备：雨具、手套、太阳帽、太阳镜、防晒油、充气枕头、垃圾袋等
3、参考药品：感冒药、藿香正气丸或黄连素、风油精、跌打药、止血帖等
这条路线就是《经典武功山路线》
“一条拥有绝佳的旅行节奏和丰富旅行体验的路线”</t>
        </is>
      </c>
      <c r="M6" s="5" t="n">
        <v>1745</v>
      </c>
      <c r="N6" s="5" t="n">
        <v>1725</v>
      </c>
      <c r="O6" s="5" t="n">
        <v>0.0115</v>
      </c>
      <c r="P6" s="5" t="n">
        <v>0</v>
      </c>
      <c r="Q6" s="5" t="n">
        <v>0</v>
      </c>
      <c r="R6" s="5" t="n">
        <v>0</v>
      </c>
      <c r="S6" s="5" t="n">
        <v>1</v>
      </c>
      <c r="T6" s="6" t="inlineStr">
        <is>
          <t>重复段落已去除</t>
        </is>
      </c>
      <c r="U6" s="5" t="inlineStr">
        <is>
          <t>是</t>
        </is>
      </c>
    </row>
    <row r="7" ht="90" customHeight="1">
      <c r="A7" s="5" t="inlineStr">
        <is>
          <t>WGS-O-06</t>
        </is>
      </c>
      <c r="B7" s="5" t="inlineStr">
        <is>
          <t>武功山</t>
        </is>
      </c>
      <c r="C7" s="5" t="inlineStr">
        <is>
          <t>官方路线</t>
        </is>
      </c>
      <c r="D7" s="5" t="inlineStr">
        <is>
          <t>两日游攻略</t>
        </is>
      </c>
      <c r="E7" s="6" t="inlineStr">
        <is>
          <t>干货！武功山两天怎么玩？这份攻略请收好！</t>
        </is>
      </c>
      <c r="F7" s="5" t="inlineStr">
        <is>
          <t>武功山景区管理员</t>
        </is>
      </c>
      <c r="G7" s="5" t="inlineStr">
        <is>
          <t>2019-09-24</t>
        </is>
      </c>
      <c r="H7" s="5" t="inlineStr">
        <is>
          <t>萍乡武功山景区官网</t>
        </is>
      </c>
      <c r="I7" s="7" t="inlineStr">
        <is>
          <t>http://wap.wugongshan.cn/page/strategyList!info.htm?id=1228</t>
        </is>
      </c>
      <c r="J7" s="5" t="inlineStr">
        <is>
          <t>官网-富文本div.raid-main</t>
        </is>
      </c>
      <c r="K7" s="6" t="inlineStr">
        <is>
          <t>最近有不少小伙伴问小武
武功山两天怎么玩？
接下来，听我的，这篇攻略一定要收好
小武给你们介绍一条游玩武功山经典路线
Part 1
交通如何到到达
来武功山的方式有很多，公交，租车，自驾都可以。
-公交到达-
萍乡北站：30分钟一趟 27元/人
萍乡站/长途汽车站： 30分钟一趟 24/人
城南站： 20分钟一趟 22/人
-租车到达-
①打出租车直达景区，大概150-200之间
②直接包车，具体价格看车型和人数，具体详情可后台咨询小武。
-自驾直达-
导航定位“萍乡武功山游客服务中心”即可
由于景区施行全封闭管理，私家车与公交车都只能到达游客服务中心，景区有停车场可供停车。
小汽车白天收费10元/辆 过夜20元/辆
大中型汽车白天20元/辆 过夜49元/辆
Part 2
门票预订
①可在景区售票窗口购票买，门票70/人
②可在“以武慧游”后台购买门票和索道票，在公众号提前一天以上购买门票只要60元/人
③索道分为两级，需要分开购票哦。
温馨提示：如不需要发票，可以凭电子票扫码入园和乘坐索道。
订门票的同时记得也要提前预订好帐篷或者酒店，根据自己的露营地选择合适位置的住宿地。
提前预订好帐篷，到山上找到位置可以直接入住，商家会搭好。预订帐篷也可在“以武慧游”公众号预订哦
Part3
两天一夜经典路线
DAY.1线路行程
石鼓寺-紫极宫-福星谷-许愿桥-玻璃眺台-回音谷-情人花廊-草甸之舟-古祭坛群-金顶
上午到达武功山，可以先在商业街吃完午饭稍作休息然后开始爬山。第一步先乘坐景区免费转运车到达石鼓寺。
小武建议可以乘坐第一级索道，因为这段路最陡，乘坐索道省时又省力。
乘坐索道时可远眺迎霞亭，尽心瀑、飞来石、寒婆岩皆在眼中，大概10分钟可到达中庵紫极宫。
游览完紫极宫可以选择徒步至金顶，这段路程涵盖了景区部分精华景点，徒步过程中你将看到福星谷栈道，许愿桥，玻璃眺台，回音谷，情人花廊。
还记得抖音刷得最多的武功山风景吗？没错就是这个地方，位于白鹤峰下来一点，站在高处，十万亩草甸就在眼前。
步行大概两个多小时可以到达金顶，在这你可以看到神秘的千年古祭坛，运气好还可以看到云海。
露营地点可选择金顶或者观音宕，在金顶观日效果最佳，如想看日出又喜欢氛围热闹那可以选择观音宕。
观音宕距离山顶大概1个小时多的路程，可结合自身情况选择营地哦。
那么接下来好好等待武功山第二天的日出吧。看日出记得调好闹钟，现在日出大概在6点钟左右。
DAY.2线路安排
①金顶-吊马桩-玻璃栈道-吊马桩-好汉坡-滴水观音-猴谷-飚水瀑布-尽心瀑-石鼓寺
②观音宕-玻璃栈道-吊马桩-好汉坡-滴水观音-猴谷-飚水瀑布-尽心瀑-石鼓寺
如在金顶露营可往吊马桩方向下山，第二天一早看完日出就可以迎着朝阳全程置身高山草甸之中行走。
大概1个小时不到就可以到达吊马桩，这个地方是高山和草甸的分界线，在这往下看是峻峭山峰，往上走是柔软的草甸。
武功山星空栈道是全国海拔最高的玻璃栈道，想要挑战下刺激心跳的感觉一定要去呀。ps:去星空栈道要出示门票，小伙伴们要记得保管好自己的门票。
游览完玻璃栈道就可以下山了，途经好汉坡，可以说是武功山阶梯最多的一段路。
武功山大大小小有几十个瀑布，现在还处于丰水时期，途中你还可以看到尽心瀑飞流直下。
再往下走经过猴谷，现在是短尾猴活跃时期，经常有游客偶遇到猴哥。
大概1个半小时可步行至紫极宫，如果体力不佳可乘坐第一级索道返回，如体力充足也可选择徒步下山，全程大概需花费3-4个小时。
武功山路线地图快收藏好
【小武提醒】
1、乘坐火车必带身份证；不可携带管制刀具和户外气罐，无法通过安检
2、如果特别爱干净的朋友，建议携带自己的睡袋，这样晚上住宿的会舒服一些
3、晚上看星星，凌晨看日出，在海拔1600以上都较冷的，所以厚衣服一定要带上
出行装备
1、必备装备：双肩背包、登山鞋或运动鞋、外套、替换衣物、洗漱用品、有效证件、移动电源、皮肤风衣、防水袋、饮用水（杯）、适量现金、适量零食、一颗爱玩
爱闹宽容的心！
2、参考装备：雨具、手套、太阳帽、太阳镜、防晒油、充气枕头、垃圾袋等
3、参考药品：感冒药、藿香正气丸或黄连素、风油精、跌打药、止血帖等</t>
        </is>
      </c>
      <c r="L7" s="6" t="inlineStr">
        <is>
          <t>最近有不少小伙伴问小武
武功山两天怎么玩？
接下来，听我的，这篇攻略一定要收好
小武给你们介绍一条游玩武功山经典路线
Part 1
交通如何到到达
来武功山的方式有很多，公交，租车，自驾都可以。
-公交到达-
萍乡北站：30分钟一趟 27元/人
萍乡站/长途汽车站： 30分钟一趟 24/人
城南站： 20分钟一趟 22/人
-租车到达-
①打出租车直达景区，大概150-200之间
②直接包车，具体价格看车型和人数，具体详情可后台咨询小武。
-自驾直达-
导航定位“萍乡武功山游客服务中心”即可
由于景区施行全封闭管理，私家车与公交车都只能到达游客服务中心，景区有停车场可供停车。
小汽车白天收费10元/辆过夜20元/辆
大中型汽车白天20元/辆过夜49元/辆
Part 2
门票预订
①可在景区售票窗口购票买，门票70/人
②可在“以武慧游”后台购买门票和索道票，在公众号提前一天以上购买门票只要60元/人
③索道分为两级，需要分开购票哦。
订门票的同时记得也要提前预订好帐篷或者酒店，根据自己的露营地选择合适位置的住宿地。
提前预订好帐篷，到山上找到位置可以直接入住，商家会搭好。预订帐篷也可在“以武慧游”公众号预订哦
Part3
两天一夜经典路线
DAY.1线路行程
石鼓寺-紫极宫-福星谷-许愿桥-玻璃眺台-回音谷-情人花廊-草甸之舟-古祭坛群-金顶
上午到达武功山，可以先在商业街吃完午饭稍作休息然后开始爬山。第一步先乘坐景区免费转运车到达石鼓寺。
小武建议可以乘坐第一级索道，因为这段路最陡，乘坐索道省时又省力。
乘坐索道时可远眺迎霞亭，尽心瀑、飞来石、寒婆岩皆在眼中，大概10分钟可到达中庵紫极宫。
游览完紫极宫可以选择徒步至金顶，这段路程涵盖了景区部分精华景点，徒步过程中你将看到福星谷栈道，许愿桥，玻璃眺台，回音谷，情人花廊。
还记得抖音刷得最多的武功山风景吗？没错就是这个地方，位于白鹤峰下来一点，站在高处，十万亩草甸就在眼前。
步行大概两个多小时可以到达金顶，在这你可以看到神秘的千年古祭坛，运气好还可以看到云海。
露营地点可选择金顶或者观音宕，在金顶观日效果最佳，如想看日出又喜欢氛围热闹那可以选择观音宕。
观音宕距离山顶大概1个小时多的路程，可结合自身情况选择营地哦。
那么接下来好好等待武功山第二天的日出吧。看日出记得调好闹钟，现在日出大概在6点钟左右。
DAY.2线路安排
①金顶-吊马桩-玻璃栈道-吊马桩-好汉坡-滴水观音-猴谷-飚水瀑布-尽心瀑-石鼓寺
②观音宕-玻璃栈道-吊马桩-好汉坡-滴水观音-猴谷-飚水瀑布-尽心瀑-石鼓寺
如在金顶露营可往吊马桩方向下山，第二天一早看完日出就可以迎着朝阳全程置身高山草甸之中行走。
大概1个小时不到就可以到达吊马桩，这个地方是高山和草甸的分界线，在这往下看是峻峭山峰，往上走是柔软的草甸。
武功山星空栈道是全国海拔最高的玻璃栈道，想要挑战下刺激心跳的感觉一定要去呀。ps:去星空栈道要出示门票，小伙伴们要记得保管好自己的门票。
游览完玻璃栈道就可以下山了，途经好汉坡，可以说是武功山阶梯最多的一段路。
武功山大大小小有几十个瀑布，现在还处于丰水时期，途中你还可以看到尽心瀑飞流直下。
再往下走经过猴谷，现在是短尾猴活跃时期，经常有游客偶遇到猴哥。
大概1个半小时可步行至紫极宫，如果体力不佳可乘坐第一级索道返回，如体力充足也可选择徒步下山，全程大概需花费3-4个小时。
武功山路线地图快收藏好
【小武提醒】
1、乘坐火车必带身份证；不可携带管制刀具和户外气罐，无法通过安检
2、如果特别爱干净的朋友，建议携带自己的睡袋，这样晚上住宿的会舒服一些
3、晚上看星星，凌晨看日出，在海拔1600以上都较冷的，所以厚衣服一定要带上
出行装备
1、必备装备：双肩背包、登山鞋或运动鞋、外套、替换衣物、洗漱用品、有效证件、移动电源、皮肤风衣、防水袋、饮用水（杯）、适量现金、适量零食、一颗爱玩
爱闹宽容的心！
2、参考装备：雨具、手套、太阳帽、太阳镜、防晒油、充气枕头、垃圾袋等
3、参考药品：感冒药、藿香正气丸或黄连素、风油精、跌打药、止血帖等</t>
        </is>
      </c>
      <c r="M7" s="5" t="n">
        <v>1669</v>
      </c>
      <c r="N7" s="5" t="n">
        <v>1641</v>
      </c>
      <c r="O7" s="5" t="n">
        <v>0.0168</v>
      </c>
      <c r="P7" s="5" t="n">
        <v>1</v>
      </c>
      <c r="Q7" s="5" t="n">
        <v>0</v>
      </c>
      <c r="R7" s="5" t="n">
        <v>0</v>
      </c>
      <c r="S7" s="5" t="n">
        <v>0</v>
      </c>
      <c r="T7" s="6" t="inlineStr">
        <is>
          <t>站点噪声已清理</t>
        </is>
      </c>
      <c r="U7" s="5" t="inlineStr">
        <is>
          <t>是</t>
        </is>
      </c>
    </row>
    <row r="8" ht="90" customHeight="1">
      <c r="A8" s="5" t="inlineStr">
        <is>
          <t>WGS-T-01</t>
        </is>
      </c>
      <c r="B8" s="5" t="inlineStr">
        <is>
          <t>武功山</t>
        </is>
      </c>
      <c r="C8" s="5" t="inlineStr">
        <is>
          <t>游客游记</t>
        </is>
      </c>
      <c r="D8" s="5" t="inlineStr">
        <is>
          <t>徒步（雨天）</t>
        </is>
      </c>
      <c r="E8" s="6" t="inlineStr">
        <is>
          <t>端午之武功山徒步</t>
        </is>
      </c>
      <c r="F8" s="5" t="inlineStr">
        <is>
          <t>南方部落户外</t>
        </is>
      </c>
      <c r="G8" s="5" t="inlineStr">
        <is>
          <t>2012-06-29</t>
        </is>
      </c>
      <c r="H8" s="5" t="inlineStr">
        <is>
          <t>豆瓣小组</t>
        </is>
      </c>
      <c r="I8" s="7" t="inlineStr">
        <is>
          <t>https://www.douban.com/group/topic/30742477/</t>
        </is>
      </c>
      <c r="J8" s="5" t="inlineStr">
        <is>
          <t>豆瓣-topic-richtext</t>
        </is>
      </c>
      <c r="K8" s="6" t="inlineStr">
        <is>
          <t>豆瓣小站：http://site.douban.com/nf1799/
豆瓣小组：http://www.douban.com/group/
新浪微博：http://weibo.com/u/1865894115
游记详帖：http://www.nf1799.com/read.php?tid=25914
全程：上山——二十X公里；负重三十X斤；雨ing；行进六小时
下山——NNN个台阶；负重三十X斤；雨ing；行进三个半小时。
-----------------------------------------------------------------------------------------------------------------------) Q- ?&amp; J S' j4 o
想去武功山很久了，之前报了一个武功山穿越的团，但是最后终究因为人数不够没有成行。正在考虑端午该如何计划一下的时候，又接到某某人推荐的一个武功山逃票线路，虽然比穿越线路强度小了好多，但是感觉应该也还不错，就毫不犹豫的报名。4 Y" F$ a" [* O; ?/ D
帐篷、睡袋什么的都准备好了，只盼着能有个好天气，一查天气预报，武功山这两天全是雨。无奈之下还是出发了，只在祈祷天气预报能像往常一样不准。
等待，上车，早上4点左右准点到达萍乡，才发现原来我们是多个户外俱乐部的拼团。无话，大巴一个多小时终于绕到了山脚下，这时候，天蒙蒙亮，天阴，但是还没下雨。
在山脚下的一个接待站吃早餐，只有米粉加一煎蛋，7块钱，还行。吃完后不到六点，准备出发。这时候，天气开始下起小雨，只好把相机挤进背包，罩好背包防雨罩六点整开始了徒步行程。 越走雨越大，还好走的基本都是山路，虽然很崎岖，但是树和竹子很多，所以，雨好似是小了一点点。先是田间小路，再是竹林，森林，差不多三个小时，终于走到了草甸，路是稍稍好走了一些，但是周围全是雨雾，无法辨别方向，只是跟着向导走着，注意力必须集中在脚下。向导是当地的一村民，穿的一拖鞋，走这些泥泞山路如履平地啊！ 四小时后，登上一小山包，雨开始停了，雾也散开了一些，才发现周围的风景真是好啊！立马从包中取出相机，开始拍几张！因为雨太大，背包的防雨罩已经没什么作用了，里面的相机已经湿了，身上也全部湿透，只好脱下身上的湿皮，裸着套上冲锋衣，大概的擦一下相机后，背在了冲锋衣下。
突然，云雾中中间出现一缺口，很壮观，当举起相机，缺口已经开始被云雾填满，此景持续了差不多20秒左右。 此事，已经负重徒步四个多小时了，风和雨都开始大了，我们也开始走悬崖小路，不得不说，在走这段路的时候，必须要站稳重心，注意力高度集中才行。 如此如此，我们行的最快的一个小TEAM，在六小时后，成功登顶，在武功山金顶上，风雨交加，很冷，雾茫茫的看不到山下。原路下金顶，路很滑，安全安全…… 在此候了一个小时后，与大部队会。去传说中的小木屋，看有没有合适的地方扎帐篷，但是到处都在流水，最后还是放弃扎营，和大家一起住小木屋。之前有听过小木屋条件很差，已有心理准备。但是见了真正的所谓的小木屋后，发现比我想象中的还要差。一张半双人床的空间，各种昆虫物种。房间里各种蚊子，不过幸好房间里还会有它的天敌，好几个大蜘蛛。晚上在睡袋中没有被蚊子袭击。 原以为，这次，除了雨，什么景也看不到了。就在这时，外面有叫声，出去发现雨停了，云海开始显现！我们屋外的一个小平台，观景位置很好！
由于天色已慢慢暗下，又没带脚架，好多相都有些虚，但是还是蛮激动的！还有晚上的月亮和星空！ 因为包全部湿了，鞋全部灌水，干的衣物就只有冲锋衣和一件速干T还有一条防风裤。不过这已足矣。 第二天本事去看日出，但是4点多起来，天阴下雨，回去继续睡。七点起来重新去了趟金顶，虽然天阴，但是雾气不浓。站在昨天的位置，开下周围的环境，发现与昨天完全不同，所有的小路也都不同了。我当时终于明白了那些雾天迷路的孩纸们的心情。
回去将湿衣物全部打包，早上十点准时开始下山，坑爹的天气又开始下雨，还好没有雾，周围的景色还是很清楚的。相机也包在塑料袋中不敢拿出了。独自欣赏美景……只是景区这坑爹的台阶太多。</t>
        </is>
      </c>
      <c r="L8" s="6" t="inlineStr">
        <is>
          <t>全程：上山——二十X公里；负重三十X斤；雨ing；行进六小时
下山——NNN个台阶；负重三十X斤；雨ing；行进三个半小时。
想去武功山很久了，之前报了一个武功山穿越的团，但是最后终究因为人数不够没有成行。正在考虑端午该如何计划一下的时候，又接到某某人推荐的一个武功山逃票线路，虽然比穿越线路强度小了好多，但是感觉应该也还不错，就毫不犹豫的报名。
帐篷、睡袋什么的都准备好了，只盼着能有个好天气，一查天气预报，武功山这两天全是雨。无奈之下还是出发了，只在祈祷天气预报能像往常一样不准。
等待，上车，早上4点左右准点到达萍乡，才发现原来我们是多个户外俱乐部的拼团。无话，大巴一个多小时终于绕到了山脚下，这时候，天蒙蒙亮，天阴，但是还没下雨。
在山脚下的一个接待站吃早餐，只有米粉加一煎蛋，7块钱，还行。吃完后不到六点，准备出发。这时候，天气开始下起小雨，只好把相机挤进背包，罩好背包防雨罩六点整开始了徒步行程。 越走雨越大，还好走的基本都是山路，虽然很崎岖，但是树和竹子很多，所以，雨好似是小了一点点。先是田间小路，再是竹林，森林，差不多三个小时，终于走到了草甸，路是稍稍好走了一些，但是周围全是雨雾，无法辨别方向，只是跟着向导走着，注意力必须集中在脚下。向导是当地的一村民，穿的一拖鞋，走这些泥泞山路如履平地啊！ 四小时后，登上一小山包，雨开始停了，雾也散开了一些，才发现周围的风景真是好啊！立马从包中取出相机，开始拍几张！因为雨太大，背包的防雨罩已经没什么作用了，里面的相机已经湿了，身上也全部湿透，只好脱下身上的湿皮，裸着套上冲锋衣，大概的擦一下相机后，背在了冲锋衣下。
突然，云雾中中间出现一缺口，很壮观，当举起相机，缺口已经开始被云雾填满，此景持续了差不多20秒左右。 此事，已经负重徒步四个多小时了，风和雨都开始大了，我们也开始走悬崖小路，不得不说，在走这段路的时候，必须要站稳重心，注意力高度集中才行。 如此如此，我们行的最快的一个小TEAM，在六小时后，成功登顶，在武功山金顶上，风雨交加，很冷，雾茫茫的看不到山下。原路下金顶，路很滑，安全安全…… 在此候了一个小时后，与大部队会。去传说中的小木屋，看有没有合适的地方扎帐篷，但是到处都在流水，最后还是放弃扎营，和大家一起住小木屋。之前有听过小木屋条件很差，已有心理准备。但是见了真正的所谓的小木屋后，发现比我想象中的还要差。一张半双人床的空间，各种昆虫物种。房间里各种蚊子，不过幸好房间里还会有它的天敌，好几个大蜘蛛。晚上在睡袋中没有被蚊子袭击。 原以为，这次，除了雨，什么景也看不到了。就在这时，外面有叫声，出去发现雨停了，云海开始显现！我们屋外的一个小平台，观景位置很好！
由于天色已慢慢暗下，又没带脚架，好多相都有些虚，但是还是蛮激动的！还有晚上的月亮和星空！ 因为包全部湿了，鞋全部灌水，干的衣物就只有冲锋衣和一件速干T还有一条防风裤。不过这已足矣。 第二天本事去看日出，但是4点多起来，天阴下雨，回去继续睡。七点起来重新去了趟金顶，虽然天阴，但是雾气不浓。站在昨天的位置，开下周围的环境，发现与昨天完全不同，所有的小路也都不同了。我当时终于明白了那些雾天迷路的孩纸们的心情。
回去将湿衣物全部打包，早上十点准时开始下山，坑爹的天气又开始下雨，还好没有雾，周围的景色还是很清楚的。相机也包在塑料袋中不敢拿出了。独自欣赏美景……只是景区这坑爹的台阶太多。</t>
        </is>
      </c>
      <c r="M8" s="5" t="n">
        <v>1688</v>
      </c>
      <c r="N8" s="5" t="n">
        <v>1397</v>
      </c>
      <c r="O8" s="5" t="n">
        <v>0.1724</v>
      </c>
      <c r="P8" s="5" t="n">
        <v>5</v>
      </c>
      <c r="Q8" s="5" t="n">
        <v>0</v>
      </c>
      <c r="R8" s="5" t="n">
        <v>1</v>
      </c>
      <c r="S8" s="5" t="n">
        <v>0</v>
      </c>
      <c r="T8" s="6" t="inlineStr">
        <is>
          <t>站点噪声已清理；链接已清理</t>
        </is>
      </c>
      <c r="U8" s="5" t="inlineStr">
        <is>
          <t>是</t>
        </is>
      </c>
    </row>
    <row r="9" ht="90" customHeight="1">
      <c r="A9" s="5" t="inlineStr">
        <is>
          <t>WGS-T-02</t>
        </is>
      </c>
      <c r="B9" s="5" t="inlineStr">
        <is>
          <t>武功山</t>
        </is>
      </c>
      <c r="C9" s="5" t="inlineStr">
        <is>
          <t>游客游记</t>
        </is>
      </c>
      <c r="D9" s="5" t="inlineStr">
        <is>
          <t>徒步穿越</t>
        </is>
      </c>
      <c r="E9" s="6" t="inlineStr">
        <is>
          <t>武功山——偶遇游望，结缘酱瓜</t>
        </is>
      </c>
      <c r="F9" s="5" t="inlineStr">
        <is>
          <t>140502</t>
        </is>
      </c>
      <c r="G9" s="5" t="inlineStr">
        <is>
          <t>2014-11-24</t>
        </is>
      </c>
      <c r="H9" s="5" t="inlineStr">
        <is>
          <t>8264户外论坛</t>
        </is>
      </c>
      <c r="I9" s="7" t="inlineStr">
        <is>
          <t>https://bbs.8264.com/thread-2279795-1-1.html</t>
        </is>
      </c>
      <c r="J9" s="5" t="inlineStr">
        <is>
          <t>8264-首帖td.t_f</t>
        </is>
      </c>
      <c r="K9" s="6" t="inlineStr">
        <is>
          <t>本帖最后由 140502 于 2014-11-24 18:24 编辑
写在前面的话：
在五一还没到的时候大家就在讨论五一要去哪里玩儿，原本计划是和莲去崇明导两日游，去下东滩湿地公园和西滩森林公园，吃吃烧烤骑骑单车。突然有一天在豆瓣网上看到了上海的一个户外驴友组织五一要去徒步穿越七尖山，打开链接很吸引我，然后就改变方案了，准备穿越，可是莲担心走不下来就不去了；因为没有穿越的经验，就把这个活动链接发给同学看，他说你去七尖还不如和我们一起去武功山，可是时间安排的好紧张，担心不能走下来；经过讨论之后我决定去武功山，安全起见，有个熟悉的人也比较好一点，好吧，我决定从上海出发到萍乡和驴友团汇合，然后5.3号自己再回上海。
这么决定以后我就看是购买来回的车票和徒步登山需要的装备，并且开始每天跑步一小时，锻炼下耐力和体力，我不想到时候拖小伙伴的后腿，徒步穿越的各种装备按照帖子上的要求一一备齐，当然有些还没是没有准备，比如帐篷、手套，本着轻装的原则，我就简单一些。 。。徒步穿越开始：
我是不幸的又是幸运的。说不幸是因为同学的驴友团因为五一路上堵车，而且联系不上。说幸运是我准时5.1日6点到萍乡，火车站遇到义乌的2个驴友，拼车去了沈子村，再三联系驴友团无果之下，决定和义乌驴友一起走，他们是可爱的七月和帅气的十七，就这样开始我的武功山徒步穿越之行。
此处省略N多个字。。。。。。
废话不多说了，来说我和游望的缘分吧！
我的人品大爆发是在5.2日下午，我和七月快到发云界的时候，在平安客栈，十七说我们不走了，今天在这里露营。我去问客栈老板：“有帐篷没？”老板说：“有房间的，还有三间，一晚上50元。”哇哦，好便宜，金顶一晚上一个床位就要200元。我在问了老板如果我们第二天下山该怎么走的时候？他给指路了，可是不明确，傍边扎帐篷的驴友说你可以去问在客栈里的那个驴友团的领队，他一定知道的；我就去问，问了才知道他们来自上海，明天也下山，他们热情的邀请我一起回去，说车子上有空位置，可以带我回去，房间有个姑娘是一个人住，我可以拼房间住。我同意了，然后告诉七月和十七，七月说好人有好运，你的人品好到爆棚，我开心的跳起来，其他驴友也说我运气真好。是啊，可以舒舒服服的洗个澡，踏实的睡了觉，还能做睡前美美的做个面膜，哈哈哈。。。
早晨被窗外的呼喊声叫醒，时间为五点多点，原来驴友要看日出，这个上海驴友团名叫：游望天下，他们5.2号驻扎在铁蹄峰，没能看到日出，我不打算凑热闹了，起床洗漱去。
七点的时候七月和十七也整理好了，领队说我们七点半出发，找个当地是向导，走一条比较陡的山路下山，这条道一般是当地人往山上送东西才走的，因为比较近。一般下山要5小时，我们这条道三个半小时就OK了。
准时出发，一路上风景也不错的，山路比较滑，不是特别好走，一路上也欢笑声不断，队伍里有2个低音炮，曲风都不一样，领队走前阵，熊二在中间，酱瓜在最后压阵，为了不让驴友走丢，一个领队和两个副领队很负责任，受伤的和走的慢的，负重减轻，包裹是其他同伴帮忙背的，一路上小伙伴们很热情，再一次体会到驴友说的：天驴友是一家。
顺利到达山下，大巴车已经到位，领队带我们去吃中饭，我和领队说过要他帮忙带七月和十七到能乘上去萍乡火车站的地方，他同意了，然后我们就一起出发了。 七月和十七没有和我们一起在餐馆里吃中饭，我和驴友团一起了，因为要一起回上海；等我吃晚饭准备退车票的时候，我才发现我的车票已经取出来了，不可能在退了，而且我返程的车票是宜春到上海的，我有点纠结了，虽然钱不多也是钱呢，总不能浪费吧，在我犹豫间我看到七月和十七还没有等到去火车站的车，我打算让他们帮我去退票，身份证和车票都给他们，七月没有拒绝，说可以试试。当我和驴友团的人说这个事情的时候，老的驴友说你还是坐火车吧，大巴可能会堵的，如果时间差不多，坐火车也可以的，不要浪费money。啊。。。我决定做火车了，加了群号，告别驴友，我和七月他们一起等车，最后拼车去火车站。
与七月和十七在萍乡火车站相遇，也在这里分别，虽然依依不舍，却总是要分开的，我们希望还有机会同游；感谢一路的陪伴，带给我很多感动，谢谢七月，谢谢十七！谢谢游望天下的驴友们！
回到上海加入了游望天下户外群，游望天下带我看天下美景，万万没想到还带给我一段姻缘。。。。。。 2014-11-24 18:20 上传
下载 (18.31 KB)
下载积分: 驴币 -1
2014-11-24 18:20 上传
下载 (17.34 KB)
下载积分: 驴币 -1
2014-11-24 18:20 上传
下载 (18.31 KB)
下载积分: 驴币 -1</t>
        </is>
      </c>
      <c r="L9" s="6" t="inlineStr">
        <is>
          <t>写在前面的话：
在五一还没到的时候大家就在讨论五一要去哪里玩儿，原本计划是和莲去崇明导两日游，去下东滩湿地公园和西滩森林公园，吃吃烧烤骑骑单车。突然有一天在豆瓣网上看到了上海的一个户外驴友组织五一要去徒步穿越七尖山，打开链接很吸引我，然后就改变方案了，准备穿越，可是莲担心走不下来就不去了；因为没有穿越的经验，就把这个活动链接发给同学看，他说你去七尖还不如和我们一起去武功山，可是时间安排的好紧张，担心不能走下来；经过讨论之后我决定去武功山，安全起见，有个熟悉的人也比较好一点，好吧，我决定从上海出发到萍乡和驴友团汇合，然后5.3号自己再回上海。
这么决定以后我就看是购买来回的车票和徒步登山需要的装备，并且开始每天跑步一小时，锻炼下耐力和体力，我不想到时候拖小伙伴的后腿，徒步穿越的各种装备按照帖子上的要求一一备齐，当然有些还没是没有准备，比如帐篷、手套，本着轻装的原则，我就简单一些。 ……徒步穿越开始：
我是不幸的又是幸运的。说不幸是因为同学的驴友团因为五一路上堵车，而且联系不上。说幸运是我准时5.1日6点到萍乡，火车站遇到义乌的2个驴友，拼车去了沈子村，再三联系驴友团无果之下，决定和义乌驴友一起走，他们是可爱的七月和帅气的十七，就这样开始我的武功山徒步穿越之行。
此处省略N多个字……
废话不多说了，来说我和游望的缘分吧！
我的人品大爆发是在5.2日下午，我和七月快到发云界的时候，在平安客栈，十七说我们不走了，今天在这里露营。我去问客栈老板：“有帐篷没？”老板说：“有房间的，还有三间，一晚上50元。”哇哦，好便宜，金顶一晚上一个床位就要200元。我在问了老板如果我们第二天下山该怎么走的时候？他给指路了，可是不明确，傍边扎帐篷的驴友说你可以去问在客栈里的那个驴友团的领队，他一定知道的；我就去问，问了才知道他们来自上海，明天也下山，他们热情的邀请我一起回去，说车子上有空位置，可以带我回去，房间有个姑娘是一个人住，我可以拼房间住。我同意了，然后告诉七月和十七，七月说好人有好运，你的人品好到爆棚，我开心的跳起来，其他驴友也说我运气真好。是啊，可以舒舒服服的洗个澡，踏实的睡了觉，还能做睡前美美的做个面膜，哈哈哈……
早晨被窗外的呼喊声叫醒，时间为五点多点，原来驴友要看日出，这个上海驴友团名叫：游望天下，他们5.2号驻扎在铁蹄峰，没能看到日出，我不打算凑热闹了，起床洗漱去。
七点的时候七月和十七也整理好了，领队说我们七点半出发，找个当地是向导，走一条比较陡的山路下山，这条道一般是当地人往山上送东西才走的，因为比较近。一般下山要5小时，我们这条道三个半小时就OK了。
准时出发，一路上风景也不错的，山路比较滑，不是特别好走，一路上也欢笑声不断，队伍里有2个低音炮，曲风都不一样，领队走前阵，熊二在中间，酱瓜在最后压阵，为了不让驴友走丢，一个领队和两个副领队很负责任，受伤的和走的慢的，负重减轻，包裹是其他同伴帮忙背的，一路上小伙伴们很热情，再一次体会到驴友说的：天驴友是一家。
顺利到达山下，大巴车已经到位，领队带我们去吃中饭，我和领队说过要他帮忙带七月和十七到能乘上去萍乡火车站的地方，他同意了，然后我们就一起出发了。 七月和十七没有和我们一起在餐馆里吃中饭，我和驴友团一起了，因为要一起回上海；等我吃晚饭准备退车票的时候，我才发现我的车票已经取出来了，不可能在退了，而且我返程的车票是宜春到上海的，我有点纠结了，虽然钱不多也是钱呢，总不能浪费吧，在我犹豫间我看到七月和十七还没有等到去火车站的车，我打算让他们帮我去退票，身份证和车票都给他们，七月没有拒绝，说可以试试。当我和驴友团的人说这个事情的时候，老的驴友说你还是坐火车吧，大巴可能会堵的，如果时间差不多，坐火车也可以的，不要浪费money。啊……我决定做火车了，加了群号，告别驴友，我和七月他们一起等车，最后拼车去火车站。
与七月和十七在萍乡火车站相遇，也在这里分别，虽然依依不舍，却总是要分开的，我们希望还有机会同游；感谢一路的陪伴，带给我很多感动，谢谢七月，谢谢十七！谢谢游望天下的驴友们！
回到上海加入了游望天下户外群，游望天下带我看天下美景，万万没想到还带给我一段姻缘……</t>
        </is>
      </c>
      <c r="M9" s="5" t="n">
        <v>1865</v>
      </c>
      <c r="N9" s="5" t="n">
        <v>1715</v>
      </c>
      <c r="O9" s="5" t="n">
        <v>0.0804</v>
      </c>
      <c r="P9" s="5" t="n">
        <v>9</v>
      </c>
      <c r="Q9" s="5" t="n">
        <v>0</v>
      </c>
      <c r="R9" s="5" t="n">
        <v>0</v>
      </c>
      <c r="S9" s="5" t="n">
        <v>0</v>
      </c>
      <c r="T9" s="6" t="inlineStr">
        <is>
          <t>站点噪声已清理</t>
        </is>
      </c>
      <c r="U9" s="5" t="inlineStr">
        <is>
          <t>是</t>
        </is>
      </c>
    </row>
    <row r="10" ht="90" customHeight="1">
      <c r="A10" s="5" t="inlineStr">
        <is>
          <t>WGS-T-03</t>
        </is>
      </c>
      <c r="B10" s="5" t="inlineStr">
        <is>
          <t>武功山</t>
        </is>
      </c>
      <c r="C10" s="5" t="inlineStr">
        <is>
          <t>游客游记</t>
        </is>
      </c>
      <c r="D10" s="5" t="inlineStr">
        <is>
          <t>交通门票攻略</t>
        </is>
      </c>
      <c r="E10" s="6" t="inlineStr">
        <is>
          <t>攻略｜武功山两天一夜攻略，建议收藏</t>
        </is>
      </c>
      <c r="F10" s="5" t="inlineStr">
        <is>
          <t>甜面酱酱</t>
        </is>
      </c>
      <c r="G10" s="5" t="inlineStr">
        <is>
          <t>2021-09-04</t>
        </is>
      </c>
      <c r="H10" s="5" t="inlineStr">
        <is>
          <t>豆瓣小组</t>
        </is>
      </c>
      <c r="I10" s="7" t="inlineStr">
        <is>
          <t>https://www.douban.com/group/topic/244979629/</t>
        </is>
      </c>
      <c r="J10" s="5" t="inlineStr">
        <is>
          <t>豆瓣-topic-richtext</t>
        </is>
      </c>
      <c r="K10" s="6" t="inlineStr">
        <is>
          <t>武功山两天一夜攻略｜不收藏绝对后悔篇
草甸｜日出｜星空｜云海｜日落
📍武功山位于江西省萍乡市
✈️行前准备
✅看天气预报☀️最好大太阳出发，能看见日出🌅和日落🌄
✅如果只玩两天可直接背书包就行，一般大家都是从江西南昌过去，或者湖南长沙过去。
✅提前关注“武功山”公众号，提前一天购票优惠10元
✅学生可搜索🔍小程序“云游江西”认证学生身份并提前一天预约可免门票‼️（一定要提前预约）
小程序预约
🧳 行李准备
1️⃣证件：身份证，银行卡，学生证
2️⃣衣服：登山的鞋，厚外套，袜子，毛巾，防晒袖，防晒霜，换洗衣服
3️⃣电子：充电宝（建议带两个），耳机，手电，相机
4️⃣零食：建议带轻零食的，多带点，水可以背3瓶，太多就重了。（鸭脖，泡面，自热火锅，薯片，水果……）
5️⃣其他：纸巾，伞（伞在山顶没有用会吹坏），雨衣，驱蚊啥的可以不带因为山顶很冷，蚊子没有。
6️⃣⚠️ 山顶不管夏天还是冬天都特别冷，空气潮湿，所以厚外套一定要带！
🚗交通
萍乡有两个站，萍乡站（火车站），萍乡北站（高铁站）
萍乡站🚂
发车时间： 首车为6:00 末车为17：30
乘坐时间：路程 1个小时20分钟
乘坐地点： 出站口客运站 大概步行3分钟
乘车价格： 💰22元/人
萍乡北站🚄
发车时间： 首车为08：30 末车为17：00
乘坐时间： 路程 1个小时20分钟
乘车地点： 出站口对面 大招牌很明显
乘车价格： 💰27元/人
⚠️这里给大家避个坑‼️
无论是高铁站还是火车站出站后门口有很多私家车在门口拉客拼车去武功山。 司机会说带你去山脚下，大家记住私家车不可能开到山脚下只能开到游客中心。只有乘坐免费的转运车才能去石鼓寺坐索道上山。
如果拼车的价格超过30就没有必要坐了，价格在30左右就是合理的。
⚠️自驾，或者其他私人车辆都是得在武功山游客中心停车，然后必须乘坐免费转运车上索道口（石鼓寺）。另外一些离谱的拼车司机说会到山脚下的基本都是走另外一边山脚下的村路，还是得走路去索道口。 所以建议大家坐车到游客中心即可‼️
深夜搬帐篷
⚠️建议定早一点的车票，然后早一点上山会看见日落🌄因为从车站到景区就需要一个多小时的时间，太晚了就得摸黑爬山了。
⚠️零食可以多带一点，在山上可以买但是未必能买到你想吃的东西而且东西是人工挑上去的特别辛苦，价格也会贵。
🎫门票价格
目前小程序“云游江西”持有学生证的提前一天预约可免门票
成人票：💰70元／人
公众号“武功山”提前一天预定💰60元/人
儿童票：身高1.2m-1.5m儿童可享受门票5折优惠，身高1.2m以下儿童可免门票和索道票。
其他特殊人员可看公众号“武功山”查看优惠政策
🧗‍♂️索道价格
武功山有两段索道，
1.石鼓寺（武功山大门）→中庵索道
2.福星谷→金顶索道
中庵索道：上行⏫ 💰65元/人 下行 ⏬💰50元/人
金顶索道：上行⏫💰35元/人 下行⏬💰25元/人
1️⃣大部分人都是买上行的中庵索道开始爬到金顶，返回也是买下行的中庵索道。
2️⃣还有一部分为了节省时间，体力并不是那么好的，会两段索道都买在上山，然后再买一段下行的中庵索道下山。
最后可以进去门票换券领冰棍～
抹茶味的冰棍很难不爱
最后，祝大家旅途愉快🎉🎉🎉</t>
        </is>
      </c>
      <c r="L10" s="6" t="inlineStr">
        <is>
          <t>武功山两天一夜攻略｜不收藏绝对后悔篇
草甸｜日出｜星空｜云海｜日落
武功山位于江西省萍乡市
行前准备
看天气预报最好大太阳出发，能看见日出和日落
如果只玩两天可直接背书包就行，一般大家都是从江西南昌过去，或者湖南长沙过去。
提前关注“武功山”公众号，提前一天购票优惠10元
学生可搜索小程序“云游江西”认证学生身份并提前一天预约可免门票（一定要提前预约）
小程序预约
行李准备
1. 证件：身份证，银行卡，学生证
2. 衣服：登山的鞋，厚外套，袜子，毛巾，防晒袖，防晒霜，换洗衣服
3. 电子：充电宝（建议带两个），耳机，手电，相机
4. 零食：建议带轻零食的，多带点，水可以背3瓶，太多就重了。（鸭脖，泡面，自热火锅，薯片，水果……）
5. 其他：纸巾，伞（伞在山顶没有用会吹坏），雨衣，驱蚊啥的可以不带因为山顶很冷，蚊子没有。
6. 山顶不管夏天还是冬天都特别冷，空气潮湿，所以厚外套一定要带！
交通
萍乡有两个站，萍乡站（火车站），萍乡北站（高铁站）
萍乡站
发车时间： 首车为6:00 末车为17：30
乘坐时间：路程 1个小时20分钟
乘坐地点： 出站口客运站大概步行3分钟
乘车价格： 22元/人
萍乡北站
发车时间： 首车为08：30 末车为17：00
乘车地点： 出站口对面大招牌很明显
乘车价格： 27元/人
这里给大家避个坑
无论是高铁站还是火车站出站后门口有很多私家车在门口拉客拼车去武功山。 司机会说带你去山脚下，大家记住私家车不可能开到山脚下只能开到游客中心。只有乘坐免费的转运车才能去石鼓寺坐索道上山。
如果拼车的价格超过30就没有必要坐了，价格在30左右就是合理的。
自驾，或者其他私人车辆都是得在武功山游客中心停车，然后必须乘坐免费转运车上索道口（石鼓寺）。另外一些离谱的拼车司机说会到山脚下的基本都是走另外一边山脚下的村路，还是得走路去索道口。 所以建议大家坐车到游客中心即可
深夜搬帐篷
建议定早一点的车票，然后早一点上山会看见日落因为从车站到景区就需要一个多小时的时间，太晚了就得摸黑爬山了。
零食可以多带一点，在山上可以买但是未必能买到你想吃的东西而且东西是人工挑上去的特别辛苦，价格也会贵。
门票价格
目前小程序“云游江西”持有学生证的提前一天预约可免门票
成人票：70元/人
公众号“武功山”提前一天预定60元/人
儿童票：身高1.2m-1.5m儿童可享受门票5折优惠，身高1.2m以下儿童可免门票和索道票。
其他特殊人员可看公众号“武功山”查看优惠政策
索道价格
武功山有两段索道，
1.石鼓寺（武功山大门）→中庵索道
2.福星谷→金顶索道
中庵索道：上行⏫ 65元/人下行 ⏬50元/人
金顶索道：上行⏫35元/人下行⏬25元/人
1. 大部分人都是买上行的中庵索道开始爬到金顶，返回也是买下行的中庵索道。
2. 还有一部分为了节省时间，体力并不是那么好的，会两段索道都买在上山，然后再买一段下行的中庵索道下山。
最后可以进去门票换券领冰棍~
抹茶味的冰棍很难不爱
最后，祝大家旅途愉快</t>
        </is>
      </c>
      <c r="M10" s="5" t="n">
        <v>1268</v>
      </c>
      <c r="N10" s="5" t="n">
        <v>1196</v>
      </c>
      <c r="O10" s="5" t="n">
        <v>0.0568</v>
      </c>
      <c r="P10" s="5" t="n">
        <v>0</v>
      </c>
      <c r="Q10" s="5" t="n">
        <v>49</v>
      </c>
      <c r="R10" s="5" t="n">
        <v>0</v>
      </c>
      <c r="S10" s="5" t="n">
        <v>1</v>
      </c>
      <c r="T10" s="6" t="inlineStr">
        <is>
          <t>表情符号已清理；重复段落已去除</t>
        </is>
      </c>
      <c r="U10" s="5" t="inlineStr">
        <is>
          <t>是</t>
        </is>
      </c>
    </row>
    <row r="11" ht="90" customHeight="1">
      <c r="A11" s="5" t="inlineStr">
        <is>
          <t>WGS-T-04</t>
        </is>
      </c>
      <c r="B11" s="5" t="inlineStr">
        <is>
          <t>武功山</t>
        </is>
      </c>
      <c r="C11" s="5" t="inlineStr">
        <is>
          <t>游客游记</t>
        </is>
      </c>
      <c r="D11" s="5" t="inlineStr">
        <is>
          <t>风光记录</t>
        </is>
      </c>
      <c r="E11" s="6" t="inlineStr">
        <is>
          <t>风光｜永远值得回忆的武功山！</t>
        </is>
      </c>
      <c r="F11" s="5" t="inlineStr">
        <is>
          <t>好粥慢煮</t>
        </is>
      </c>
      <c r="G11" s="5" t="inlineStr">
        <is>
          <t>2023-04-19</t>
        </is>
      </c>
      <c r="H11" s="5" t="inlineStr">
        <is>
          <t>豆瓣小组</t>
        </is>
      </c>
      <c r="I11" s="7" t="inlineStr">
        <is>
          <t>https://www.douban.com/group/topic/287032716/</t>
        </is>
      </c>
      <c r="J11" s="5" t="inlineStr">
        <is>
          <t>豆瓣-topic-richtext</t>
        </is>
      </c>
      <c r="K11" s="6" t="inlineStr">
        <is>
          <t>为了看这个日落，后面一个人在乌漆麻黑的山上走了一个小时才到住的地方😭</t>
        </is>
      </c>
      <c r="L11" s="6" t="inlineStr">
        <is>
          <t>为了看这个日落，后面一个人在乌漆麻黑的山上走了一个小时才到住的地方</t>
        </is>
      </c>
      <c r="M11" s="5" t="n">
        <v>34</v>
      </c>
      <c r="N11" s="5" t="n">
        <v>33</v>
      </c>
      <c r="O11" s="5" t="n">
        <v>0.0294</v>
      </c>
      <c r="P11" s="5" t="n">
        <v>0</v>
      </c>
      <c r="Q11" s="5" t="n">
        <v>1</v>
      </c>
      <c r="R11" s="5" t="n">
        <v>0</v>
      </c>
      <c r="S11" s="5" t="n">
        <v>0</v>
      </c>
      <c r="T11" s="6" t="inlineStr">
        <is>
          <t>表情符号已清理；文本过短；图片为主</t>
        </is>
      </c>
      <c r="U11" s="5" t="inlineStr">
        <is>
          <t>否</t>
        </is>
      </c>
    </row>
    <row r="12" ht="90" customHeight="1">
      <c r="A12" s="5" t="inlineStr">
        <is>
          <t>WGS-T-05</t>
        </is>
      </c>
      <c r="B12" s="5" t="inlineStr">
        <is>
          <t>武功山</t>
        </is>
      </c>
      <c r="C12" s="5" t="inlineStr">
        <is>
          <t>游客游记</t>
        </is>
      </c>
      <c r="D12" s="5" t="inlineStr">
        <is>
          <t>徒步穿越（沈明线）</t>
        </is>
      </c>
      <c r="E12" s="6" t="inlineStr">
        <is>
          <t>风雨赴山海，再徒武功山——沈明线47公里两日徒步游记</t>
        </is>
      </c>
      <c r="F12" s="5" t="inlineStr">
        <is>
          <t>未知</t>
        </is>
      </c>
      <c r="G12" s="5" t="inlineStr">
        <is>
          <t>2026-10-06</t>
        </is>
      </c>
      <c r="H12" s="5" t="inlineStr">
        <is>
          <t>简书</t>
        </is>
      </c>
      <c r="I12" s="7" t="inlineStr">
        <is>
          <t>https://www.jianshu.com/p/b1e2ca31a9c3</t>
        </is>
      </c>
      <c r="J12" s="5" t="inlineStr">
        <is>
          <t>简书-article</t>
        </is>
      </c>
      <c r="K12" s="6" t="inlineStr">
        <is>
          <t>国庆前夕，天气预报频频播报江西假期阴雨连绵，可早已敲定的山海之约，我们不愿轻易辜负。9月30日下午16:30，我和小月月如约搭乘网约车奔赴广州白云车费每人分摊64元，与何工在车站顺利汇合。国庆出行一票难求，万般无奈之下，我们买下了九个小时的硬座车票。细数岁月，我早已记不清多少年没有熬过这般漫长的硬座旅途。奔赴诗和远方的热爱，总能让人甘愿奔赴辛苦，所幸我们早有规划，提前抢好了10月3日的返程卧铺，为疲惫的归途留好了温柔退路。
线路图
此次我们挑战经典的武功山沈明线，全程47公里，是一场两天一夜的山野穿越。行程路线规划为：沈子村起点→九龙客栈→铁蹄峰→金顶（武功山最高点1918米）→吊马桩→观音宕→绝望坡→好汉坡→发云界→老鹰岩→沈家大院→羊狮慕小火车站→三县界碑→明月山6281梯→明月山景区大门终点。第一天山上住宿、落地拼车事宜，细心的何工早已提前全部预定妥当。我始终坚信，山野之行不必纠结于阴晴不定的天气，心怀平常心，顺其自然、随遇而安，便是最好的出行状态。
10月1日清晨六点多，我们准时抵达萍乡站。再次踏足这里的站台，依稀记得去年端午，我也曾奔赴这片山野。当日天色蒙蒙、雾气氤氲，所幸并未下雨。出站后，预约的司机早已等候多时，同行除了我们三人，还有一位拼车的重装驴友，每人车费40元，路途之中，司机格外暖心，特意到乡镇，带我们品尝了地道的江西炒粉，我也趁机采购好了登山所需的物资补给。休整备妥，车程一小时有余，我们顺利抵达本次徒步起点——沈子村。简单整理行囊后，称重发现背包负重23斤。为应对长途穿越，所有人都备好双登山杖。上午八点，缴纳10元卫生费后，我们正式开启了山野爬升。
天色依旧阴沉微凉，但进山徒步的同伴络绎不绝，其中不乏重装出行的资深驴友。一路前行，我们陆续赶超数拨队伍，没走多久，山间便飘起零星小雨，大家默契地拿出防雨罩，仔细护住背包，继续稳步向前。前行六公里多、耗时两个半小时左右，我们抵达九龙山。此刻视野骤然开阔，山野风光尽数铺展眼前。沿途穿过独特的草木界域，一路向前，便来到了海拔1846米的铁蹄峰。此峰因山体形似战马马蹄得名，山势极为险峻，岩石裸露、绝壁陡峭，两侧皆是万丈悬崖，是沈子村通往金顶的必经之路。部分路段为碎石陡坡，无任何防护围栏，行走需步步谨慎。
记忆犹新的是去年端午途经此处，山间大雾弥漫、狂风呼啸，举步维艰，每一步都小心翼翼，生怕脚下打滑。而今年天公作美，视野通透清朗，我们一边沉浸式欣赏山野盛景，一边稳步提速，轻松穿越险峰。一路攀登，终抵武功山最高点——金顶，又称白鹤峰，海拔1918.3米。峰顶地势平坦开阔，是观赏日出云海、高山草甸的绝佳机位。恰逢国庆假期，峰顶游人络绎不绝，可惜绵绵细雨便如期而至。我们寻得山间亭子驻足避雨、休整补给、解决午餐。休憩片刻，细雨渐歇，山间云雾缭绕、山峦若隐若现，仙气氤氲，满目皆是治愈人心的美景。简单打卡留念后，我们再度启程，而此时，漫长的徒步路程才刚刚走过三分之一，我们当日的目的地，是远方的发云界。从金顶下坡前往吊马桩的途中，一路风光旖旎，步步皆景。这段属于景区主干道，游客较多，大家都自觉靠右通行、有序前行。抵达观音宕后，我们舍弃了去年的老路，选择走玻璃栈道前行。这里奇峰林立、怪石嶙峋、苍松挺拔，远眺群山气势磅礴。行走于悬空栈道之上，周身云雾流转、形态万千，宛若置身仙境，让人忍不住驻足停留、拍照记录。
贪恋美景之余，我们也深知路程漫漫，当即加快脚步，生怕拖沓至夜间摸黑赶路。途经网红路段绝望坡，此处海拔落差约350米，最大坡度高达70度，坡长路陡、碎石遍布，全程几乎需要手脚并用攀爬。翻越虐人的绝望坡，紧接着便是好汉坡。行至好汉坡时，天边浮现出绝美夕阳余晖。我心知今年行进速度慢于去年，加之秋日昼短夜长，夜幕提前降临，今晚大概率要走夜路。打开手机导航查看，距离发云界还有6.7公里左右，预计还需两到三小时行程。不敢懈怠，我们即刻提速前行。行至云上青客栈，我们稍作休整、等候同伴，彼此打气鼓劲后，继续奔赴前路。
日落
帐篷
此时夜色彻底笼罩山野，四周漆黑一片，沿途依旧能遇见反向穿越的驴友，山野徒步的热爱，从来不分昼夜。当晚八点零几分，我们终于顺利抵达当日目的地发云界，全员悬着的心终于放下。第一天全程徒步24公里多，累计爬升约2400米，体能消耗巨大。所幸客栈老板十分热情周到，快速为我们安排好房间、备好热水。国庆旺季，住宿性价比极高，100元一人，包含晚餐与次日早餐。饭菜虽算不上精致美味，但在极致疲惫、体力透支的状态下，我依旧踏实吃下了两碗米饭。洗漱完毕、收拾妥当后，晚上十点，我们终于躺下休息，结束了充实又虐脚的第一天行程。
10月2日清晨六点，天光微亮，我们准时醒来，快速洗漱、吃完早餐，补齐路上补给，仔细检查行囊、确认无物品遗漏，早上七点准时出发。清晨山间雾气浓重、空气湿润，不见日出云海，一片朦朦胧胧。今日行程依旧漫长：从发云界出发，途经老鹰岩、沈家大院、羊狮慕小火车站、三县界碑，最终挑战6281级明月山阶梯，直达景区大门。
发云界
启程后，我们一头扎进幽深密林，前路皆是连绵起伏的V型山坡。从老鹰岩裸岩路段前往沈家大院的路途，没有壮阔草甸，没有缥缈云海，只有无尽蜿蜒的野路。路面铺满湿滑腐叶，暗藏诸多行路陷阱，全程在树丛间穿梭，反复爬升、下降，无法大步提速，只能稳住呼吸、保持节奏、稳步前行。途中因手套未晾干，我空手前行，在下老鹰岩陡坡时，左脚不慎勾住树根，湿滑的树干无从借力，直接重重摔倒在地，左膝磕出大片淤青。万幸只是皮外伤、未伤及筋骨，但也着实让人惊出一身冷汗。自此之后，我的左脚受力受限，下坡路段只能步步小心、缓慢挪步，渐渐落在队伍后方。此刻我深深感悟：山野长线徒步，从不是比拼瞬间爆发力，而是考验持之以恒的耐力与沉稳平稳的心态。原本计划探访的沈家大院旧屋遗迹，也只能遗憾放弃。
熬过漫长孤寂的密林穿越，我们终于抵达羊狮慕附近的“几字湾”栈道。这里是回望武功山整条山脊线的绝佳观景位。只可惜天公依旧不作美，细雨绵绵，我们全程在水雾迷雾中穿行。栈道途中，我们偶遇四位重装徒步的驴友。前路仅剩最后一段爬升，雨天石阶青苔遍布、路面湿滑，所有人都格外谨慎慢行。我的左膝伤痛，不断传来痛感，我向同伴提出原地休整。看着不远的羊狮慕小火车站，我一度担心自己难以坚持抵达。幸好小月月随身携带了活络油，涂抹在伤处后，一阵清凉麻木感蔓延开来，疼痛感大幅缓解。休整过后再度启程，短短一公里多路程，我们便顺利抵达羊狮慕小火车站。在此充分休整补给后继续前行，所幸接下来六公里路程地势平缓，几乎无爬升、无陡坡，行进格外轻松。
一路前行抵达三县界碑，发现界碑已重新用水泥翻新修整，少了往日古朴自然的韵味，一旁还新建了尚未完工的临时休憩亭子。我们简单打卡拍照，便继续赶路。接下来是两公里多长的平整机耕路，虽无陡坡险路，好在全程阴天无日晒，若是烈日当空，这段平缓路途也定会格外煎熬。走完机耕路，转角便看见景区灯饰建筑，仿佛从荒芜山野瞬间步入规整景区，别有一番意境。正式进入明月山景区，国庆期间景区人头攒动、游人如织。行至索道口，我们放弃了轻松的索道下山，依旧选择徒步挑战阶梯。
等待我们的，是足足6281级陡峭下山台阶，正常全程走完需两小时，去年我们状态极佳，一路小跑下山，仅用1.5小时。原本计划下午16点半抵达山脚，行至中途岔路时，瀑布路段湿滑难行，我们便听从景区工作人员建议，选择绕行骆驼峰路线，却不料迎来了全程最大的考验。这条路线的石阶极窄、坡度极陡，多处倾斜角度超70度，比瀑布路线更险峻、路程更长。唯有护栏相伴，步步惊心。真正体会到：人生选择皆是如此，既然选了这条路，便只能咬牙坚持、风雨兼程。
下午十七点多，我们全员平安抵达明月山景区大门，圆满完成47公里沈明线全程徒步。第一天耗时12小时，走完24余公里山路；第二天耗时10小时，完成22余公里路程。对比去年50公里的丘明线徒步，此次耗时更久，但阴雨湿滑，安全永远是山野徒步的第一准则，慢一点、稳一点，便是最好的结果。约了的士费用3人共76元，车程1个小时左右到达宜春订好的民宿小区楼下。
武功山从来都是一条极致虐身的徒步路线，翻不完的坡、走不尽的路，风雨相伴、身心俱疲，却有着让人无限奔赴的魔力。来过、累过、治愈过，便念念不忘、次次重逢。
一场风雨山野行，一身疲惫，满心丰盈。这便是徒步的意义，累并热爱，奔赴且治愈。</t>
        </is>
      </c>
      <c r="L12" s="6" t="inlineStr">
        <is>
          <t>国庆前夕，天气预报频频播报江西假期阴雨连绵，可早已敲定的山海之约，我们不愿轻易辜负。9月30日下午16:30，我和小月月如约搭乘网约车奔赴广州白云车费每人分摊64元，与何工在车站顺利汇合。国庆出行一票难求，万般无奈之下，我们买下了九个小时的硬座车票。细数岁月，我早已记不清多少年没有熬过这般漫长的硬座旅途。奔赴诗和远方的热爱，总能让人甘愿奔赴辛苦，所幸我们早有规划，提前抢好了10月3日的返程卧铺，为疲惫的归途留好了温柔退路。
线路图
此次我们挑战经典的武功山沈明线，全程47公里，是一场两天一夜的山野穿越。行程路线规划为：沈子村起点→九龙客栈→铁蹄峰→金顶（武功山最高点1918米）→吊马桩→观音宕→绝望坡→好汉坡→发云界→老鹰岩→沈家大院→羊狮慕小火车站→三县界碑→明月山6281梯→明月山景区大门终点。第一天山上住宿、落地拼车事宜，细心的何工早已提前全部预定妥当。我始终坚信，山野之行不必纠结于阴晴不定的天气，心怀平常心，顺其自然、随遇而安，便是最好的出行状态。
10月1日清晨六点多，我们准时抵达萍乡站。再次踏足这里的站台，依稀记得去年端午，我也曾奔赴这片山野。当日天色蒙蒙、雾气氤氲，所幸并未下雨。出站后，预约的司机早已等候多时，同行除了我们三人，还有一位拼车的重装驴友，每人车费40元，路途之中，司机格外暖心，特意到乡镇，带我们品尝了地道的江西炒粉，我也趁机采购好了登山所需的物资补给。休整备妥，车程一小时有余，我们顺利抵达本次徒步起点——沈子村。简单整理行囊后，称重发现背包负重23斤。为应对长途穿越，所有人都备好双登山杖。上午八点，缴纳10元卫生费后，我们正式开启了山野爬升。
天色依旧阴沉微凉，但进山徒步的同伴络绎不绝，其中不乏重装出行的资深驴友。一路前行，我们陆续赶超数拨队伍，没走多久，山间便飘起零星小雨，大家默契地拿出防雨罩，仔细护住背包，继续稳步向前。前行六公里多、耗时两个半小时左右，我们抵达九龙山。此刻视野骤然开阔，山野风光尽数铺展眼前。沿途穿过独特的草木界域，一路向前，便来到了海拔1846米的铁蹄峰。此峰因山体形似战马马蹄得名，山势极为险峻，岩石裸露、绝壁陡峭，两侧皆是万丈悬崖，是沈子村通往金顶的必经之路。部分路段为碎石陡坡，无任何防护围栏，行走需步步谨慎。
记忆犹新的是去年端午途经此处，山间大雾弥漫、狂风呼啸，举步维艰，每一步都小心翼翼，生怕脚下打滑。而今年天公作美，视野通透清朗，我们一边沉浸式欣赏山野盛景，一边稳步提速，轻松穿越险峰。一路攀登，终抵武功山最高点——金顶，又称白鹤峰，海拔1918.3米。峰顶地势平坦开阔，是观赏日出云海、高山草甸的绝佳机位。恰逢国庆假期，峰顶游人络绎不绝，可惜绵绵细雨便如期而至。我们寻得山间亭子驻足避雨、休整补给、解决午餐。休憩片刻，细雨渐歇，山间云雾缭绕、山峦若隐若现，仙气氤氲，满目皆是治愈人心的美景。简单打卡留念后，我们再度启程，而此时，漫长的徒步路程才刚刚走过三分之一，我们当日的目的地，是远方的发云界。从金顶下坡前往吊马桩的途中，一路风光旖旎，步步皆景。这段属于景区主干道，游客较多，大家都自觉靠右通行、有序前行。抵达观音宕后，我们舍弃了去年的老路，选择走玻璃栈道前行。这里奇峰林立、怪石嶙峋、苍松挺拔，远眺群山气势磅礴。行走于悬空栈道之上，周身云雾流转、形态万千，宛若置身仙境，让人忍不住驻足停留、拍照记录。
贪恋美景之余，我们也深知路程漫漫，当即加快脚步，生怕拖沓至夜间摸黑赶路。途经网红路段绝望坡，此处海拔落差约350米，最大坡度高达70度，坡长路陡、碎石遍布，全程几乎需要手脚并用攀爬。翻越虐人的绝望坡，紧接着便是好汉坡。行至好汉坡时，天边浮现出绝美夕阳余晖。我心知今年行进速度慢于去年，加之秋日昼短夜长，夜幕提前降临，今晚大概率要走夜路。打开手机导航查看，距离发云界还有6.7公里左右，预计还需两到三小时行程。不敢懈怠，我们即刻提速前行。行至云上青客栈，我们稍作休整、等候同伴，彼此打气鼓劲后，继续奔赴前路。
日落
帐篷
此时夜色彻底笼罩山野，四周漆黑一片，沿途依旧能遇见反向穿越的驴友，山野徒步的热爱，从来不分昼夜。当晚八点零几分，我们终于顺利抵达当日目的地发云界，全员悬着的心终于放下。第一天全程徒步24公里多，累计爬升约2400米，体能消耗巨大。所幸客栈老板十分热情周到，快速为我们安排好房间、备好热水。国庆旺季，住宿性价比极高，100元一人，包含晚餐与次日早餐。饭菜虽算不上精致美味，但在极致疲惫、体力透支的状态下，我依旧踏实吃下了两碗米饭。洗漱完毕、收拾妥当后，晚上十点，我们终于躺下休息，结束了充实又虐脚的第一天行程。
10月2日清晨六点，天光微亮，我们准时醒来，快速洗漱、吃完早餐，补齐路上补给，仔细检查行囊、确认无物品遗漏，早上七点准时出发。清晨山间雾气浓重、空气湿润，不见日出云海，一片朦朦胧胧。今日行程依旧漫长：从发云界出发，途经老鹰岩、沈家大院、羊狮慕小火车站、三县界碑，最终挑战6281级明月山阶梯，直达景区大门。
发云界
启程后，我们一头扎进幽深密林，前路皆是连绵起伏的V型山坡。从老鹰岩裸岩路段前往沈家大院的路途，没有壮阔草甸，没有缥缈云海，只有无尽蜿蜒的野路。路面铺满湿滑腐叶，暗藏诸多行路陷阱，全程在树丛间穿梭，反复爬升、下降，无法大步提速，只能稳住呼吸、保持节奏、稳步前行。途中因手套未晾干，我空手前行，在下老鹰岩陡坡时，左脚不慎勾住树根，湿滑的树干无从借力，直接重重摔倒在地，左膝磕出大片淤青。万幸只是皮外伤、未伤及筋骨，但也着实让人惊出一身冷汗。自此之后，我的左脚受力受限，下坡路段只能步步小心、缓慢挪步，渐渐落在队伍后方。此刻我深深感悟：山野长线徒步，从不是比拼瞬间爆发力，而是考验持之以恒的耐力与沉稳平稳的心态。原本计划探访的沈家大院旧屋遗迹，也只能遗憾放弃。
熬过漫长孤寂的密林穿越，我们终于抵达羊狮慕附近的“几字湾”栈道。这里是回望武功山整条山脊线的绝佳观景位。只可惜天公依旧不作美，细雨绵绵，我们全程在水雾迷雾中穿行。栈道途中，我们偶遇四位重装徒步的驴友。前路仅剩最后一段爬升，雨天石阶青苔遍布、路面湿滑，所有人都格外谨慎慢行。我的左膝伤痛，不断传来痛感，我向同伴提出原地休整。看着不远的羊狮慕小火车站，我一度担心自己难以坚持抵达。幸好小月月随身携带了活络油，涂抹在伤处后，一阵清凉麻木感蔓延开来，疼痛感大幅缓解。休整过后再度启程，短短一公里多路程，我们便顺利抵达羊狮慕小火车站。在此充分休整补给后继续前行，所幸接下来六公里路程地势平缓，几乎无爬升、无陡坡，行进格外轻松。
一路前行抵达三县界碑，发现界碑已重新用水泥翻新修整，少了往日古朴自然的韵味，一旁还新建了尚未完工的临时休憩亭子。我们简单打卡拍照，便继续赶路。接下来是两公里多长的平整机耕路，虽无陡坡险路，好在全程阴天无日晒，若是烈日当空，这段平缓路途也定会格外煎熬。走完机耕路，转角便看见景区灯饰建筑，仿佛从荒芜山野瞬间步入规整景区，别有一番意境。正式进入明月山景区，国庆期间景区人头攒动、游人如织。行至索道口，我们放弃了轻松的索道下山，依旧选择徒步挑战阶梯。
等待我们的，是足足6281级陡峭下山台阶，正常全程走完需两小时，去年我们状态极佳，一路小跑下山，仅用1.5小时。原本计划下午16点半抵达山脚，行至中途岔路时，瀑布路段湿滑难行，我们便听从景区工作人员建议，选择绕行骆驼峰路线，却不料迎来了全程最大的考验。这条路线的石阶极窄、坡度极陡，多处倾斜角度超70度，比瀑布路线更险峻、路程更长。唯有护栏相伴，步步惊心。真正体会到：人生选择皆是如此，既然选了这条路，便只能咬牙坚持、风雨兼程。
下午十七点多，我们全员平安抵达明月山景区大门，圆满完成47公里沈明线全程徒步。第一天耗时12小时，走完24余公里山路；第二天耗时10小时，完成22余公里路程。对比去年50公里的丘明线徒步，此次耗时更久，但阴雨湿滑，安全永远是山野徒步的第一准则，慢一点、稳一点，便是最好的结果。约了的士费用3人共76元，车程1个小时左右到达宜春订好的民宿小区楼下。
武功山从来都是一条极致虐身的徒步路线，翻不完的坡、走不尽的路，风雨相伴、身心俱疲，却有着让人无限奔赴的魔力。来过、累过、治愈过，便念念不忘、次次重逢。
一场风雨山野行，一身疲惫，满心丰盈。这便是徒步的意义，累并热爱，奔赴且治愈。</t>
        </is>
      </c>
      <c r="M12" s="5" t="n">
        <v>3418</v>
      </c>
      <c r="N12" s="5" t="n">
        <v>3418</v>
      </c>
      <c r="O12" s="5" t="n">
        <v>0</v>
      </c>
      <c r="P12" s="5" t="n">
        <v>0</v>
      </c>
      <c r="Q12" s="5" t="n">
        <v>0</v>
      </c>
      <c r="R12" s="5" t="n">
        <v>0</v>
      </c>
      <c r="S12" s="5" t="n">
        <v>0</v>
      </c>
      <c r="T12" s="6" t="inlineStr">
        <is>
          <t>作者缺失</t>
        </is>
      </c>
      <c r="U12" s="5" t="inlineStr">
        <is>
          <t>是</t>
        </is>
      </c>
    </row>
    <row r="13" ht="90" customHeight="1">
      <c r="A13" s="5" t="inlineStr">
        <is>
          <t>WGS-T-06</t>
        </is>
      </c>
      <c r="B13" s="5" t="inlineStr">
        <is>
          <t>武功山</t>
        </is>
      </c>
      <c r="C13" s="5" t="inlineStr">
        <is>
          <t>游客游记</t>
        </is>
      </c>
      <c r="D13" s="5" t="inlineStr">
        <is>
          <t>反穿徒步</t>
        </is>
      </c>
      <c r="E13" s="6" t="inlineStr">
        <is>
          <t>反穿武功山</t>
        </is>
      </c>
      <c r="F13" s="5" t="inlineStr">
        <is>
          <t>未知</t>
        </is>
      </c>
      <c r="G13" s="5" t="inlineStr">
        <is>
          <t>2025-10-09</t>
        </is>
      </c>
      <c r="H13" s="5" t="inlineStr">
        <is>
          <t>简书</t>
        </is>
      </c>
      <c r="I13" s="7" t="inlineStr">
        <is>
          <t>https://www.jianshu.com/p/b740595834db</t>
        </is>
      </c>
      <c r="J13" s="5" t="inlineStr">
        <is>
          <t>简书-article</t>
        </is>
      </c>
      <c r="K13" s="6" t="inlineStr">
        <is>
          <t>半山腰总是拥挤的，你要到山顶看看！
国庆期间去江西萍乡徒步了十五小时，一家三口反穿武功山成功到达金顶。从早上六点半一直走到晚上九点半，天蒙蒙亮便开始出发直到天黑了终于到达顶峰。
龙门村反穿入口进去的时候人并不多，大多数人会选择从景区乘坐缆车到达山顶。这一路的风景都好美，蓝天白云，绿野松林，大片大片的芦苇荡随风摇曳。
好汉坡爬上去的都是好汉，绝望坡爬起来也是真的绝望。去之前信誓旦旦要出片，实际爬山途中灰头土脸埋头赶路。在发云界的时候倒是拍到不少好看的照片，配上国庆期间飘扬的五星红旗，简直是太有意境了。
我九岁的儿子给我们带来惊喜，去之前很担心孩子是否能够完成这次高难度的徒步，实际行进过程中他比我们爬得快多了，到最后我要爬不动的时候连背包都是孩子背的！小小的身躯大大的能量。
晚上住在金顶睡帐篷营地，山顶的风是真大啊！第二天看了日出，日出东方红胜火，云海里的日出壮丽非凡，若不是亲眼所见，无法想象宛若新生的震撼。
爬山是能量的净化和补充，虽然这一路很累，但终究是坚持下来到达了目的地。我们一家三口都很棒，忍不住给自己点个赞。以后再遇到什么难事什么坎坷就想想爬下来的这座武功山，两千米的海拔都拿下来了其他事情对我们来说算什么，路虽远行则将至！</t>
        </is>
      </c>
      <c r="L13" s="6" t="inlineStr">
        <is>
          <t>半山腰总是拥挤的，你要到山顶看看！
国庆期间去江西萍乡徒步了十五小时，一家三口反穿武功山成功到达金顶。从早上六点半一直走到晚上九点半，天蒙蒙亮便开始出发直到天黑了终于到达顶峰。
龙门村反穿入口进去的时候人并不多，大多数人会选择从景区乘坐缆车到达山顶。这一路的风景都好美，蓝天白云，绿野松林，大片大片的芦苇荡随风摇曳。
好汉坡爬上去的都是好汉，绝望坡爬起来也是真的绝望。去之前信誓旦旦要出片，实际爬山途中灰头土脸埋头赶路。在发云界的时候倒是拍到不少好看的照片，配上国庆期间飘扬的五星红旗，简直是太有意境了。
我九岁的儿子给我们带来惊喜，去之前很担心孩子是否能够完成这次高难度的徒步，实际行进过程中他比我们爬得快多了，到最后我要爬不动的时候连背包都是孩子背的！小小的身躯大大的能量。
晚上住在金顶睡帐篷营地，山顶的风是真大啊！第二天看了日出，日出东方红胜火，云海里的日出壮丽非凡，若不是亲眼所见，无法想象宛若新生的震撼。
爬山是能量的净化和补充，虽然这一路很累，但终究是坚持下来到达了目的地。我们一家三口都很棒，忍不住给自己点个赞。以后再遇到什么难事什么坎坷就想想爬下来的这座武功山，两千米的海拔都拿下来了其他事情对我们来说算什么，路虽远行则将至！</t>
        </is>
      </c>
      <c r="M13" s="5" t="n">
        <v>516</v>
      </c>
      <c r="N13" s="5" t="n">
        <v>516</v>
      </c>
      <c r="O13" s="5" t="n">
        <v>0</v>
      </c>
      <c r="P13" s="5" t="n">
        <v>0</v>
      </c>
      <c r="Q13" s="5" t="n">
        <v>0</v>
      </c>
      <c r="R13" s="5" t="n">
        <v>0</v>
      </c>
      <c r="S13" s="5" t="n">
        <v>0</v>
      </c>
      <c r="T13" s="6" t="inlineStr">
        <is>
          <t>作者缺失</t>
        </is>
      </c>
      <c r="U13" s="5" t="inlineStr">
        <is>
          <t>是</t>
        </is>
      </c>
    </row>
    <row r="14" ht="90" customHeight="1">
      <c r="A14" s="5" t="inlineStr">
        <is>
          <t>WGS-T-07</t>
        </is>
      </c>
      <c r="B14" s="5" t="inlineStr">
        <is>
          <t>武功山</t>
        </is>
      </c>
      <c r="C14" s="5" t="inlineStr">
        <is>
          <t>游客游记</t>
        </is>
      </c>
      <c r="D14" s="5" t="inlineStr">
        <is>
          <t>徒步</t>
        </is>
      </c>
      <c r="E14" s="6" t="inlineStr">
        <is>
          <t>草已黄，人未老，武功山上见分晓</t>
        </is>
      </c>
      <c r="F14" s="5" t="inlineStr">
        <is>
          <t>三姐姐</t>
        </is>
      </c>
      <c r="G14" s="5" t="inlineStr">
        <is>
          <t>2024-12-13</t>
        </is>
      </c>
      <c r="H14" s="5" t="inlineStr">
        <is>
          <t>搜狐号</t>
        </is>
      </c>
      <c r="I14" s="7" t="inlineStr">
        <is>
          <t>https://www.sohu.com/a/836540158_102484</t>
        </is>
      </c>
      <c r="J14" s="5" t="inlineStr">
        <is>
          <t>搜狐-article</t>
        </is>
      </c>
      <c r="K14" s="6" t="inlineStr">
        <is>
          <t>登上武功山，是我多年以来的心愿。早就想去一睹武功山上那壮观的云海和茫茫的草甸，这个冬日，我终于如愿以偿，好友相邀，八人成行，意气风发地向武功山进发了。
萍乡武功山乃江西第一高峰，有道是“东南天柱有三，盖衡，庐与武功”；当年许霞客游武功山后，曾赋诗一首《武功游》，赞叹武功山壮美风光，他写道：“千峰嵯峨碧玉簪，五岭堪比武功山”。
近年来，萍乡武功山景区潜心打造“户外天堂”的名号，从徒步到骑行，从攀岩到漂流，从露营到滑雪，武功山成了年轻人趋之若鹜的户外胜地。
然而，攀登武功山对我们来说并非一件容易的事，我们八人中虽然有90后的青壮年，但也有80岁的“杖朝”老人，平均下来年龄达到50岁以上，另外还有刚刚出院的病号，要登上1918米的山巅金顶，对于我们来说，的确是一次的挑战。
登武功山的方式有新手级、选手级、专业级等多种选择，我们本着量力而行的原则，明智地选择了适合体力较弱和初次来武功山的“新手级轻松走路线”方式。
我们从游客中心出发，乘坐观光车到达山门的石鼓寺，接着坐索道到达“中庵”，从这里开始徒步爬山，沿着紫金宫方向前行；中途经过好汉坡，这里是整个武功山中最陡峭的地方，石怪峰奇，悬崖万丈。
“加油！”，“一个也不能少呀！”我走在队伍的最前面，一路大声呼喊，说说笑笑，活跃着气氛，朋友们互相鼓劲、互相搀扶，一个台阶又一个台阶地努力向上；大约爬了2个半小时，我们到达了吊马桩。
到达吊马桩之后，又有两种选择，一种是从吊马桩徒步朝万宝柜、白鹤峰方向前进，直至金顶。还有一种就是新手级路线，继续乘坐索道到达武功神拳后，然后再徒步前进，登向金顶。
武功山的山顶真的是美得让人窒息。从吊马桩开始，沿途可以欣赏到壮丽的自然风光，郁郁葱葱的森林、巍峨壮丽的山峰，高山草甸在风中摇曳，蓝天白云仿佛触手可及；最终我们一行8人全都到达了金顶。
太兴奋！太激动！虽然高山草甸已经泛黄，虽然没有邂逅缥缈的云海，但一路沐浴着冬日暖阳，领略着大自然的壮丽与神奇，感受着天地间的灵秀与奥秘，还有暖心相伴的挚爱亲朋，可以说是我人生中难以忘怀的奇妙之旅。
站在武功山之巅，风非常大，但蓝天、白云与金黄的草甸，召唤着我们疲惫的灵魂，于山水草木间、于攀登跋涉中找寻生命的真谛。我情不自禁地脱口而出：“草已黄，人未老；武功山上见分晓！”。
【作者简介】三姐姐：中国摄影家协会会员、专栏作家、旅行家。
【版权声明】本图文版权归三姐姐所有，未经允许，不得转载、商用。返回搜狐，查看更多</t>
        </is>
      </c>
      <c r="L14" s="6" t="inlineStr">
        <is>
          <t>登上武功山，是我多年以来的心愿。早就想去一睹武功山上那壮观的云海和茫茫的草甸，这个冬日，我终于如愿以偿，好友相邀，八人成行，意气风发地向武功山进发了。
萍乡武功山乃江西第一高峰，有道是“东南天柱有三，盖衡，庐与武功”；当年许霞客游武功山后，曾赋诗一首《武功游》，赞叹武功山壮美风光，他写道：“千峰嵯峨碧玉簪，五岭堪比武功山”。
近年来，萍乡武功山景区潜心打造“户外天堂”的名号，从徒步到骑行，从攀岩到漂流，从露营到滑雪，武功山成了年轻人趋之若鹜的户外胜地。
然而，攀登武功山对我们来说并非一件容易的事，我们八人中虽然有90后的青壮年，但也有80岁的“杖朝”老人，平均下来年龄达到50岁以上，另外还有刚刚出院的病号，要登上1918米的山巅金顶，对于我们来说，的确是一次的挑战。
登武功山的方式有新手级、选手级、专业级等多种选择，我们本着量力而行的原则，明智地选择了适合体力较弱和初次来武功山的“新手级轻松走路线”方式。
我们从游客中心出发，乘坐观光车到达山门的石鼓寺，接着坐索道到达“中庵”，从这里开始徒步爬山，沿着紫金宫方向前行；中途经过好汉坡，这里是整个武功山中最陡峭的地方，石怪峰奇，悬崖万丈。
“加油！”，“一个也不能少呀！”我走在队伍的最前面，一路大声呼喊，说说笑笑，活跃着气氛，朋友们互相鼓劲、互相搀扶，一个台阶又一个台阶地努力向上；大约爬了2个半小时，我们到达了吊马桩。
到达吊马桩之后，又有两种选择，一种是从吊马桩徒步朝万宝柜、白鹤峰方向前进，直至金顶。还有一种就是新手级路线，继续乘坐索道到达武功神拳后，然后再徒步前进，登向金顶。
武功山的山顶真的是美得让人窒息。从吊马桩开始，沿途可以欣赏到壮丽的自然风光，郁郁葱葱的森林、巍峨壮丽的山峰，高山草甸在风中摇曳，蓝天白云仿佛触手可及；最终我们一行8人全都到达了金顶。
太兴奋！太激动！虽然高山草甸已经泛黄，虽然没有邂逅缥缈的云海，但一路沐浴着冬日暖阳，领略着大自然的壮丽与神奇，感受着天地间的灵秀与奥秘，还有暖心相伴的挚爱亲朋，可以说是我人生中难以忘怀的奇妙之旅。
站在武功山之巅，风非常大，但蓝天、白云与金黄的草甸，召唤着我们疲惫的灵魂，于山水草木间、于攀登跋涉中找寻生命的真谛。我情不自禁地脱口而出：“草已黄，人未老；武功山上见分晓！”。</t>
        </is>
      </c>
      <c r="M14" s="5" t="n">
        <v>1012</v>
      </c>
      <c r="N14" s="5" t="n">
        <v>943</v>
      </c>
      <c r="O14" s="5" t="n">
        <v>0.0682</v>
      </c>
      <c r="P14" s="5" t="n">
        <v>2</v>
      </c>
      <c r="Q14" s="5" t="n">
        <v>0</v>
      </c>
      <c r="R14" s="5" t="n">
        <v>0</v>
      </c>
      <c r="S14" s="5" t="n">
        <v>0</v>
      </c>
      <c r="T14" s="6" t="inlineStr">
        <is>
          <t>站点噪声已清理</t>
        </is>
      </c>
      <c r="U14" s="5" t="inlineStr">
        <is>
          <t>是</t>
        </is>
      </c>
    </row>
    <row r="15" ht="90" customHeight="1">
      <c r="A15" s="5" t="inlineStr">
        <is>
          <t>WGS-T-08</t>
        </is>
      </c>
      <c r="B15" s="5" t="inlineStr">
        <is>
          <t>武功山</t>
        </is>
      </c>
      <c r="C15" s="5" t="inlineStr">
        <is>
          <t>游客游记</t>
        </is>
      </c>
      <c r="D15" s="5" t="inlineStr">
        <is>
          <t>露营攻略</t>
        </is>
      </c>
      <c r="E15" s="6" t="inlineStr">
        <is>
          <t>江西武功山金顶星空露营攻略：解锁高山云海的浪漫</t>
        </is>
      </c>
      <c r="F15" s="5" t="inlineStr">
        <is>
          <t>小叮当微知著</t>
        </is>
      </c>
      <c r="G15" s="5" t="inlineStr">
        <is>
          <t>2026-01-26</t>
        </is>
      </c>
      <c r="H15" s="5" t="inlineStr">
        <is>
          <t>搜狐号</t>
        </is>
      </c>
      <c r="I15" s="7" t="inlineStr">
        <is>
          <t>https://m.sohu.com/a/980145718_122593874</t>
        </is>
      </c>
      <c r="J15" s="5" t="inlineStr">
        <is>
          <t>搜狐-article</t>
        </is>
      </c>
      <c r="K15" s="6" t="inlineStr">
        <is>
          <t>提起露营，多数人想到的是城市周边的公园营地，却少有人知道江西武功山的高山星空露营有多震撼。这里不仅有连绵的草甸、翻涌的云海，夜晚抬头就是璀璨星河，是小众露营爱好者的宝藏目的地，无需专业登山装备，新手也能轻松打卡。
前往武功山建议选择春秋两季，避开夏季的暴雨和冬季的严寒。交通上可乘高铁到萍乡站，再转景区大巴直达山脚，徒步路线选择 “沈子村 - 金顶” 的轻装线，全程 6 公里左右，耗时 3-4 小时，沿途有补给点，不用担心体力不支。
露营装备无需复杂，带好帐篷、睡袋、防潮垫即可，山顶有租赁点，省去负重烦恼。傍晚时分抵达金顶营地，搭好帐篷后静待日落，夕阳染红草甸的画面堪称一绝。夜晚气温较低，记得带件厚外套，躺在帐篷外看星星，银河清晰可见，偶尔还能遇到流星划过。
第二天早起看日出云海是重头戏，建议定好闹钟，5 点左右前往观景台，当太阳冲破云层，金色的光芒洒在云海之上，随手一拍都是大片。
游玩小贴士：山顶物资价格偏高，可自带一些零食和饮用水；徒步时穿防滑运动鞋，做好防晒措施；爱护环境，垃圾随身带走。
来源网络</t>
        </is>
      </c>
      <c r="L15" s="6" t="inlineStr">
        <is>
          <t>提起露营，多数人想到的是城市周边的公园营地，却少有人知道江西武功山的高山星空露营有多震撼。这里不仅有连绵的草甸、翻涌的云海，夜晚抬头就是璀璨星河，是小众露营爱好者的宝藏目的地，无需专业登山装备，新手也能轻松打卡。
前往武功山建议选择春秋两季，避开夏季的暴雨和冬季的严寒。交通上可乘高铁到萍乡站，再转景区大巴直达山脚，徒步路线选择 “沈子村 - 金顶” 的轻装线，全程 6 公里左右，耗时 3-4 小时，沿途有补给点，不用担心体力不支。
露营装备无需复杂，带好帐篷、睡袋、防潮垫即可，山顶有租赁点，省去负重烦恼。傍晚时分抵达金顶营地，搭好帐篷后静待日落，夕阳染红草甸的画面堪称一绝。夜晚气温较低，记得带件厚外套，躺在帐篷外看星星，银河清晰可见，偶尔还能遇到流星划过。
第二天早起看日出云海是重头戏，建议定好闹钟，5 点左右前往观景台，当太阳冲破云层，金色的光芒洒在云海之上，随手一拍都是大片。
游玩小贴士：山顶物资价格偏高，可自带一些零食和饮用水；徒步时穿防滑运动鞋，做好防晒措施；爱护环境，垃圾随身带走。</t>
        </is>
      </c>
      <c r="M15" s="5" t="n">
        <v>443</v>
      </c>
      <c r="N15" s="5" t="n">
        <v>439</v>
      </c>
      <c r="O15" s="5" t="n">
        <v>0.008999999999999999</v>
      </c>
      <c r="P15" s="5" t="n">
        <v>1</v>
      </c>
      <c r="Q15" s="5" t="n">
        <v>0</v>
      </c>
      <c r="R15" s="5" t="n">
        <v>0</v>
      </c>
      <c r="S15" s="5" t="n">
        <v>0</v>
      </c>
      <c r="T15" s="6" t="inlineStr">
        <is>
          <t>站点噪声已清理</t>
        </is>
      </c>
      <c r="U15" s="5" t="inlineStr">
        <is>
          <t>是</t>
        </is>
      </c>
    </row>
  </sheetData>
  <autoFilter ref="A1:U1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4" customWidth="1" min="3" max="3"/>
    <col width="14" customWidth="1" min="4" max="4"/>
    <col width="11" customWidth="1" min="5" max="5"/>
    <col width="18" customWidth="1" min="6" max="6"/>
    <col width="46" customWidth="1" min="7" max="7"/>
    <col width="9" customWidth="1" min="8" max="8"/>
    <col width="10" customWidth="1" min="9" max="9"/>
    <col width="20" customWidth="1" min="10" max="10"/>
    <col width="14" customWidth="1" min="11" max="11"/>
    <col width="9" customWidth="1" min="12" max="12"/>
  </cols>
  <sheetData>
    <row r="1">
      <c r="A1" s="4" t="inlineStr">
        <is>
          <t>记录ID</t>
        </is>
      </c>
      <c r="B1" s="4" t="inlineStr">
        <is>
          <t>文本类型</t>
        </is>
      </c>
      <c r="C1" s="4" t="inlineStr">
        <is>
          <t>标题</t>
        </is>
      </c>
      <c r="D1" s="4" t="inlineStr">
        <is>
          <t>作者</t>
        </is>
      </c>
      <c r="E1" s="4" t="inlineStr">
        <is>
          <t>发布时间</t>
        </is>
      </c>
      <c r="F1" s="4" t="inlineStr">
        <is>
          <t>来源站点</t>
        </is>
      </c>
      <c r="G1" s="4" t="inlineStr">
        <is>
          <t>来源链接</t>
        </is>
      </c>
      <c r="H1" s="4" t="inlineStr">
        <is>
          <t>HTTP状态</t>
        </is>
      </c>
      <c r="I1" s="4" t="inlineStr">
        <is>
          <t>原始字节</t>
        </is>
      </c>
      <c r="J1" s="4" t="inlineStr">
        <is>
          <t>抓取时间</t>
        </is>
      </c>
      <c r="K1" s="4" t="inlineStr">
        <is>
          <t>SHA256(前12位)</t>
        </is>
      </c>
      <c r="L1" s="4" t="inlineStr">
        <is>
          <t>状态</t>
        </is>
      </c>
    </row>
    <row r="2">
      <c r="A2" s="5" t="inlineStr">
        <is>
          <t>WGS-O-01</t>
        </is>
      </c>
      <c r="B2" s="5" t="inlineStr">
        <is>
          <t>官方路线</t>
        </is>
      </c>
      <c r="C2" s="6" t="inlineStr">
        <is>
          <t>户外体验一日游</t>
        </is>
      </c>
      <c r="D2" s="5" t="inlineStr">
        <is>
          <t>武功山景区管理员</t>
        </is>
      </c>
      <c r="E2" s="5" t="inlineStr">
        <is>
          <t>2017-06-25</t>
        </is>
      </c>
      <c r="F2" s="5" t="inlineStr">
        <is>
          <t>萍乡武功山景区官网</t>
        </is>
      </c>
      <c r="G2" s="7" t="inlineStr">
        <is>
          <t>http://wap.wugongshan.cn/page/strategyList!info.htm?id=104</t>
        </is>
      </c>
      <c r="H2" s="5" t="n">
        <v>200</v>
      </c>
      <c r="I2" s="5" t="n">
        <v>17579</v>
      </c>
      <c r="J2" s="5" t="inlineStr">
        <is>
          <t>2026-10-28 19:01:00</t>
        </is>
      </c>
      <c r="K2" s="5" t="inlineStr">
        <is>
          <t>85a59f0de2e6</t>
        </is>
      </c>
      <c r="L2" s="5" t="inlineStr">
        <is>
          <t>cached</t>
        </is>
      </c>
    </row>
    <row r="3">
      <c r="A3" s="5" t="inlineStr">
        <is>
          <t>WGS-O-02</t>
        </is>
      </c>
      <c r="B3" s="5" t="inlineStr">
        <is>
          <t>官方路线</t>
        </is>
      </c>
      <c r="C3" s="6" t="inlineStr">
        <is>
          <t>休闲观光一日游</t>
        </is>
      </c>
      <c r="D3" s="5" t="inlineStr">
        <is>
          <t>武功山景区管理员</t>
        </is>
      </c>
      <c r="E3" s="5" t="inlineStr">
        <is>
          <t>2017-06-25</t>
        </is>
      </c>
      <c r="F3" s="5" t="inlineStr">
        <is>
          <t>萍乡武功山景区官网</t>
        </is>
      </c>
      <c r="G3" s="7" t="inlineStr">
        <is>
          <t>http://wap.wugongshan.cn/page/strategyList!info.htm?id=103</t>
        </is>
      </c>
      <c r="H3" s="5" t="n">
        <v>200</v>
      </c>
      <c r="I3" s="5" t="n">
        <v>18875</v>
      </c>
      <c r="J3" s="5" t="inlineStr">
        <is>
          <t>2026-10-28 19:01:02</t>
        </is>
      </c>
      <c r="K3" s="5" t="inlineStr">
        <is>
          <t>44f794d8f2dc</t>
        </is>
      </c>
      <c r="L3" s="5" t="inlineStr">
        <is>
          <t>cached</t>
        </is>
      </c>
    </row>
    <row r="4">
      <c r="A4" s="5" t="inlineStr">
        <is>
          <t>WGS-O-03</t>
        </is>
      </c>
      <c r="B4" s="5" t="inlineStr">
        <is>
          <t>官方路线</t>
        </is>
      </c>
      <c r="C4" s="6" t="inlineStr">
        <is>
          <t>生态武功山+红色安源两日游</t>
        </is>
      </c>
      <c r="D4" s="5" t="inlineStr">
        <is>
          <t>武功山景区管理员</t>
        </is>
      </c>
      <c r="E4" s="5" t="inlineStr">
        <is>
          <t>2017-07-24</t>
        </is>
      </c>
      <c r="F4" s="5" t="inlineStr">
        <is>
          <t>萍乡武功山景区官网</t>
        </is>
      </c>
      <c r="G4" s="7" t="inlineStr">
        <is>
          <t>http://wap.wugongshan.cn/page/strategyList!info.htm?id=188</t>
        </is>
      </c>
      <c r="H4" s="5" t="n">
        <v>200</v>
      </c>
      <c r="I4" s="5" t="n">
        <v>20372</v>
      </c>
      <c r="J4" s="5" t="inlineStr">
        <is>
          <t>2026-10-28 19:01:04</t>
        </is>
      </c>
      <c r="K4" s="5" t="inlineStr">
        <is>
          <t>83f6a1c2f061</t>
        </is>
      </c>
      <c r="L4" s="5" t="inlineStr">
        <is>
          <t>cached</t>
        </is>
      </c>
    </row>
    <row r="5">
      <c r="A5" s="5" t="inlineStr">
        <is>
          <t>WGS-O-04</t>
        </is>
      </c>
      <c r="B5" s="5" t="inlineStr">
        <is>
          <t>官方路线</t>
        </is>
      </c>
      <c r="C5" s="6" t="inlineStr">
        <is>
          <t>武功山帐篷露营两日游</t>
        </is>
      </c>
      <c r="D5" s="5" t="inlineStr">
        <is>
          <t>武功山景区管理员</t>
        </is>
      </c>
      <c r="E5" s="5" t="inlineStr">
        <is>
          <t>2019-10-15</t>
        </is>
      </c>
      <c r="F5" s="5" t="inlineStr">
        <is>
          <t>萍乡武功山景区官网</t>
        </is>
      </c>
      <c r="G5" s="7" t="inlineStr">
        <is>
          <t>http://wap.wugongshan.cn/page/strategyList!info.htm?id=1297</t>
        </is>
      </c>
      <c r="H5" s="5" t="n">
        <v>200</v>
      </c>
      <c r="I5" s="5" t="n">
        <v>21680</v>
      </c>
      <c r="J5" s="5" t="inlineStr">
        <is>
          <t>2026-10-28 19:01:06</t>
        </is>
      </c>
      <c r="K5" s="5" t="inlineStr">
        <is>
          <t>73a2e02e9b5c</t>
        </is>
      </c>
      <c r="L5" s="5" t="inlineStr">
        <is>
          <t>cached</t>
        </is>
      </c>
    </row>
    <row r="6">
      <c r="A6" s="5" t="inlineStr">
        <is>
          <t>WGS-O-05</t>
        </is>
      </c>
      <c r="B6" s="5" t="inlineStr">
        <is>
          <t>官方路线</t>
        </is>
      </c>
      <c r="C6" s="6" t="inlineStr">
        <is>
          <t>最强攻略 | 武功山两日游</t>
        </is>
      </c>
      <c r="D6" s="5" t="inlineStr">
        <is>
          <t>武功山景区管理员</t>
        </is>
      </c>
      <c r="E6" s="5" t="inlineStr">
        <is>
          <t>2019-10-15</t>
        </is>
      </c>
      <c r="F6" s="5" t="inlineStr">
        <is>
          <t>萍乡武功山景区官网</t>
        </is>
      </c>
      <c r="G6" s="7" t="inlineStr">
        <is>
          <t>http://wap.wugongshan.cn/page/strategyList!info.htm?id=1293</t>
        </is>
      </c>
      <c r="H6" s="5" t="n">
        <v>200</v>
      </c>
      <c r="I6" s="5" t="n">
        <v>30216</v>
      </c>
      <c r="J6" s="5" t="inlineStr">
        <is>
          <t>2026-10-28 19:01:08</t>
        </is>
      </c>
      <c r="K6" s="5" t="inlineStr">
        <is>
          <t>7a5bb669eb97</t>
        </is>
      </c>
      <c r="L6" s="5" t="inlineStr">
        <is>
          <t>cached</t>
        </is>
      </c>
    </row>
    <row r="7">
      <c r="A7" s="5" t="inlineStr">
        <is>
          <t>WGS-O-06</t>
        </is>
      </c>
      <c r="B7" s="5" t="inlineStr">
        <is>
          <t>官方路线</t>
        </is>
      </c>
      <c r="C7" s="6" t="inlineStr">
        <is>
          <t>干货！武功山两天怎么玩？这份攻略请收好！</t>
        </is>
      </c>
      <c r="D7" s="5" t="inlineStr">
        <is>
          <t>武功山景区管理员</t>
        </is>
      </c>
      <c r="E7" s="5" t="inlineStr">
        <is>
          <t>2019-09-24</t>
        </is>
      </c>
      <c r="F7" s="5" t="inlineStr">
        <is>
          <t>萍乡武功山景区官网</t>
        </is>
      </c>
      <c r="G7" s="7" t="inlineStr">
        <is>
          <t>http://wap.wugongshan.cn/page/strategyList!info.htm?id=1228</t>
        </is>
      </c>
      <c r="H7" s="5" t="n">
        <v>200</v>
      </c>
      <c r="I7" s="5" t="n">
        <v>56379</v>
      </c>
      <c r="J7" s="5" t="inlineStr">
        <is>
          <t>2026-10-28 19:01:11</t>
        </is>
      </c>
      <c r="K7" s="5" t="inlineStr">
        <is>
          <t>e4a079e28d4a</t>
        </is>
      </c>
      <c r="L7" s="5" t="inlineStr">
        <is>
          <t>cached</t>
        </is>
      </c>
    </row>
    <row r="8">
      <c r="A8" s="5" t="inlineStr">
        <is>
          <t>WGS-T-01</t>
        </is>
      </c>
      <c r="B8" s="5" t="inlineStr">
        <is>
          <t>游客游记</t>
        </is>
      </c>
      <c r="C8" s="6" t="inlineStr">
        <is>
          <t>端午之武功山徒步</t>
        </is>
      </c>
      <c r="D8" s="5" t="inlineStr">
        <is>
          <t>南方部落户外</t>
        </is>
      </c>
      <c r="E8" s="5" t="inlineStr">
        <is>
          <t>2012-06-29</t>
        </is>
      </c>
      <c r="F8" s="5" t="inlineStr">
        <is>
          <t>豆瓣小组</t>
        </is>
      </c>
      <c r="G8" s="7" t="inlineStr">
        <is>
          <t>https://www.douban.com/group/topic/30742477/</t>
        </is>
      </c>
      <c r="H8" s="5" t="n">
        <v>200</v>
      </c>
      <c r="I8" s="5" t="n">
        <v>56187</v>
      </c>
      <c r="J8" s="5" t="inlineStr">
        <is>
          <t>2026-10-28 19:01:13</t>
        </is>
      </c>
      <c r="K8" s="5" t="inlineStr">
        <is>
          <t>e30bd55d6d16</t>
        </is>
      </c>
      <c r="L8" s="5" t="inlineStr">
        <is>
          <t>cached</t>
        </is>
      </c>
    </row>
    <row r="9">
      <c r="A9" s="5" t="inlineStr">
        <is>
          <t>WGS-T-02</t>
        </is>
      </c>
      <c r="B9" s="5" t="inlineStr">
        <is>
          <t>游客游记</t>
        </is>
      </c>
      <c r="C9" s="6" t="inlineStr">
        <is>
          <t>武功山——偶遇游望，结缘酱瓜</t>
        </is>
      </c>
      <c r="D9" s="5" t="inlineStr">
        <is>
          <t>140502</t>
        </is>
      </c>
      <c r="E9" s="5" t="inlineStr">
        <is>
          <t>2014-11-24</t>
        </is>
      </c>
      <c r="F9" s="5" t="inlineStr">
        <is>
          <t>8264户外论坛</t>
        </is>
      </c>
      <c r="G9" s="7" t="inlineStr">
        <is>
          <t>https://bbs.8264.com/thread-2279795-1-1.html</t>
        </is>
      </c>
      <c r="H9" s="5" t="n">
        <v>200</v>
      </c>
      <c r="I9" s="5" t="n">
        <v>138922</v>
      </c>
      <c r="J9" s="5" t="inlineStr">
        <is>
          <t>2026-10-28 19:03:33</t>
        </is>
      </c>
      <c r="K9" s="5" t="inlineStr">
        <is>
          <t>f3fdb74b63aa</t>
        </is>
      </c>
      <c r="L9" s="5" t="inlineStr">
        <is>
          <t>cached</t>
        </is>
      </c>
    </row>
    <row r="10">
      <c r="A10" s="5" t="inlineStr">
        <is>
          <t>WGS-T-03</t>
        </is>
      </c>
      <c r="B10" s="5" t="inlineStr">
        <is>
          <t>游客游记</t>
        </is>
      </c>
      <c r="C10" s="6" t="inlineStr">
        <is>
          <t>攻略｜武功山两天一夜攻略，建议收藏</t>
        </is>
      </c>
      <c r="D10" s="5" t="inlineStr">
        <is>
          <t>甜面酱酱</t>
        </is>
      </c>
      <c r="E10" s="5" t="inlineStr">
        <is>
          <t>2021-09-04</t>
        </is>
      </c>
      <c r="F10" s="5" t="inlineStr">
        <is>
          <t>豆瓣小组</t>
        </is>
      </c>
      <c r="G10" s="7" t="inlineStr">
        <is>
          <t>https://www.douban.com/group/topic/244979629/</t>
        </is>
      </c>
      <c r="H10" s="5" t="n">
        <v>200</v>
      </c>
      <c r="I10" s="5" t="n">
        <v>75957</v>
      </c>
      <c r="J10" s="5" t="inlineStr">
        <is>
          <t>2026-10-28 19:01:19</t>
        </is>
      </c>
      <c r="K10" s="5" t="inlineStr">
        <is>
          <t>f733b92ec1f7</t>
        </is>
      </c>
      <c r="L10" s="5" t="inlineStr">
        <is>
          <t>cached</t>
        </is>
      </c>
    </row>
    <row r="11">
      <c r="A11" s="5" t="inlineStr">
        <is>
          <t>WGS-T-04</t>
        </is>
      </c>
      <c r="B11" s="5" t="inlineStr">
        <is>
          <t>游客游记</t>
        </is>
      </c>
      <c r="C11" s="6" t="inlineStr">
        <is>
          <t>风光｜永远值得回忆的武功山！</t>
        </is>
      </c>
      <c r="D11" s="5" t="inlineStr">
        <is>
          <t>好粥慢煮</t>
        </is>
      </c>
      <c r="E11" s="5" t="inlineStr">
        <is>
          <t>2023-04-19</t>
        </is>
      </c>
      <c r="F11" s="5" t="inlineStr">
        <is>
          <t>豆瓣小组</t>
        </is>
      </c>
      <c r="G11" s="7" t="inlineStr">
        <is>
          <t>https://www.douban.com/group/topic/287032716/</t>
        </is>
      </c>
      <c r="H11" s="5" t="n">
        <v>200</v>
      </c>
      <c r="I11" s="5" t="n">
        <v>155170</v>
      </c>
      <c r="J11" s="5" t="inlineStr">
        <is>
          <t>2026-10-28 19:01:22</t>
        </is>
      </c>
      <c r="K11" s="5" t="inlineStr">
        <is>
          <t>7cdb01a0a3fa</t>
        </is>
      </c>
      <c r="L11" s="5" t="inlineStr">
        <is>
          <t>cached</t>
        </is>
      </c>
    </row>
    <row r="12">
      <c r="A12" s="5" t="inlineStr">
        <is>
          <t>WGS-T-05</t>
        </is>
      </c>
      <c r="B12" s="5" t="inlineStr">
        <is>
          <t>游客游记</t>
        </is>
      </c>
      <c r="C12" s="6" t="inlineStr">
        <is>
          <t>风雨赴山海，再徒武功山——沈明线47公里两日徒步游记</t>
        </is>
      </c>
      <c r="D12" s="5" t="inlineStr">
        <is>
          <t>未知</t>
        </is>
      </c>
      <c r="E12" s="5" t="inlineStr">
        <is>
          <t>2026-10-06</t>
        </is>
      </c>
      <c r="F12" s="5" t="inlineStr">
        <is>
          <t>简书</t>
        </is>
      </c>
      <c r="G12" s="7" t="inlineStr">
        <is>
          <t>https://www.jianshu.com/p/b1e2ca31a9c3</t>
        </is>
      </c>
      <c r="H12" s="5" t="n">
        <v>200</v>
      </c>
      <c r="I12" s="5" t="n">
        <v>148285</v>
      </c>
      <c r="J12" s="5" t="inlineStr">
        <is>
          <t>2026-10-28 19:01:26</t>
        </is>
      </c>
      <c r="K12" s="5" t="inlineStr">
        <is>
          <t>3b8dee998631</t>
        </is>
      </c>
      <c r="L12" s="5" t="inlineStr">
        <is>
          <t>cached</t>
        </is>
      </c>
    </row>
    <row r="13">
      <c r="A13" s="5" t="inlineStr">
        <is>
          <t>WGS-T-06</t>
        </is>
      </c>
      <c r="B13" s="5" t="inlineStr">
        <is>
          <t>游客游记</t>
        </is>
      </c>
      <c r="C13" s="6" t="inlineStr">
        <is>
          <t>反穿武功山</t>
        </is>
      </c>
      <c r="D13" s="5" t="inlineStr">
        <is>
          <t>未知</t>
        </is>
      </c>
      <c r="E13" s="5" t="inlineStr">
        <is>
          <t>2025-10-09</t>
        </is>
      </c>
      <c r="F13" s="5" t="inlineStr">
        <is>
          <t>简书</t>
        </is>
      </c>
      <c r="G13" s="7" t="inlineStr">
        <is>
          <t>https://www.jianshu.com/p/b740595834db</t>
        </is>
      </c>
      <c r="H13" s="5" t="n">
        <v>200</v>
      </c>
      <c r="I13" s="5" t="n">
        <v>129797</v>
      </c>
      <c r="J13" s="5" t="inlineStr">
        <is>
          <t>2026-10-28 19:02:40</t>
        </is>
      </c>
      <c r="K13" s="5" t="inlineStr">
        <is>
          <t>3dcb949582f3</t>
        </is>
      </c>
      <c r="L13" s="5" t="inlineStr">
        <is>
          <t>cached</t>
        </is>
      </c>
    </row>
    <row r="14">
      <c r="A14" s="5" t="inlineStr">
        <is>
          <t>WGS-T-07</t>
        </is>
      </c>
      <c r="B14" s="5" t="inlineStr">
        <is>
          <t>游客游记</t>
        </is>
      </c>
      <c r="C14" s="6" t="inlineStr">
        <is>
          <t>草已黄，人未老，武功山上见分晓</t>
        </is>
      </c>
      <c r="D14" s="5" t="inlineStr">
        <is>
          <t>三姐姐</t>
        </is>
      </c>
      <c r="E14" s="5" t="inlineStr">
        <is>
          <t>2024-12-13</t>
        </is>
      </c>
      <c r="F14" s="5" t="inlineStr">
        <is>
          <t>搜狐号</t>
        </is>
      </c>
      <c r="G14" s="7" t="inlineStr">
        <is>
          <t>https://www.sohu.com/a/836540158_102484</t>
        </is>
      </c>
      <c r="H14" s="5" t="n">
        <v>200</v>
      </c>
      <c r="I14" s="5" t="n">
        <v>25960</v>
      </c>
      <c r="J14" s="5" t="inlineStr">
        <is>
          <t>2026-10-28 19:02:42</t>
        </is>
      </c>
      <c r="K14" s="5" t="inlineStr">
        <is>
          <t>b190d53496d3</t>
        </is>
      </c>
      <c r="L14" s="5" t="inlineStr">
        <is>
          <t>cached</t>
        </is>
      </c>
    </row>
    <row r="15">
      <c r="A15" s="5" t="inlineStr">
        <is>
          <t>WGS-T-08</t>
        </is>
      </c>
      <c r="B15" s="5" t="inlineStr">
        <is>
          <t>游客游记</t>
        </is>
      </c>
      <c r="C15" s="6" t="inlineStr">
        <is>
          <t>江西武功山金顶星空露营攻略：解锁高山云海的浪漫</t>
        </is>
      </c>
      <c r="D15" s="5" t="inlineStr">
        <is>
          <t>小叮当微知著</t>
        </is>
      </c>
      <c r="E15" s="5" t="inlineStr">
        <is>
          <t>2026-01-26</t>
        </is>
      </c>
      <c r="F15" s="5" t="inlineStr">
        <is>
          <t>搜狐号</t>
        </is>
      </c>
      <c r="G15" s="7" t="inlineStr">
        <is>
          <t>https://m.sohu.com/a/980145718_122593874</t>
        </is>
      </c>
      <c r="H15" s="5" t="n">
        <v>200</v>
      </c>
      <c r="I15" s="5" t="n">
        <v>15283</v>
      </c>
      <c r="J15" s="5" t="inlineStr">
        <is>
          <t>2026-10-28 19:01:36</t>
        </is>
      </c>
      <c r="K15" s="5" t="inlineStr">
        <is>
          <t>f4c8db893453</t>
        </is>
      </c>
      <c r="L15" s="5" t="inlineStr">
        <is>
          <t>cached</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8" customWidth="1" min="3" max="3"/>
    <col width="52" customWidth="1" min="4" max="4"/>
    <col width="34" customWidth="1" min="5" max="5"/>
  </cols>
  <sheetData>
    <row r="1">
      <c r="A1" s="4" t="inlineStr">
        <is>
          <t>字段名</t>
        </is>
      </c>
      <c r="B1" s="4" t="inlineStr">
        <is>
          <t>中文名</t>
        </is>
      </c>
      <c r="C1" s="4" t="inlineStr">
        <is>
          <t>类型</t>
        </is>
      </c>
      <c r="D1" s="4" t="inlineStr">
        <is>
          <t>说明</t>
        </is>
      </c>
      <c r="E1" s="4" t="inlineStr">
        <is>
          <t>示例</t>
        </is>
      </c>
    </row>
    <row r="2">
      <c r="A2" s="5" t="inlineStr">
        <is>
          <t>doc_id</t>
        </is>
      </c>
      <c r="B2" s="5" t="inlineStr">
        <is>
          <t>记录ID</t>
        </is>
      </c>
      <c r="C2" s="5" t="inlineStr">
        <is>
          <t>文本</t>
        </is>
      </c>
      <c r="D2" s="6" t="inlineStr">
        <is>
          <t>唯一标识；O=官方路线，T=游客游记</t>
        </is>
      </c>
      <c r="E2" s="6" t="inlineStr">
        <is>
          <t>WGS-O-01</t>
        </is>
      </c>
    </row>
    <row r="3">
      <c r="A3" s="5" t="inlineStr">
        <is>
          <t>scenic_area</t>
        </is>
      </c>
      <c r="B3" s="5" t="inlineStr">
        <is>
          <t>景区</t>
        </is>
      </c>
      <c r="C3" s="5" t="inlineStr">
        <is>
          <t>文本</t>
        </is>
      </c>
      <c r="D3" s="6" t="inlineStr">
        <is>
          <t>所属景区名称</t>
        </is>
      </c>
      <c r="E3" s="6" t="inlineStr">
        <is>
          <t>武功山</t>
        </is>
      </c>
    </row>
    <row r="4">
      <c r="A4" s="5" t="inlineStr">
        <is>
          <t>doc_type</t>
        </is>
      </c>
      <c r="B4" s="5" t="inlineStr">
        <is>
          <t>文本类型</t>
        </is>
      </c>
      <c r="C4" s="5" t="inlineStr">
        <is>
          <t>文本</t>
        </is>
      </c>
      <c r="D4" s="6" t="inlineStr">
        <is>
          <t>官方路线 / 游客游记</t>
        </is>
      </c>
      <c r="E4" s="6" t="inlineStr">
        <is>
          <t>官方路线</t>
        </is>
      </c>
    </row>
    <row r="5">
      <c r="A5" s="5" t="inlineStr">
        <is>
          <t>subtype</t>
        </is>
      </c>
      <c r="B5" s="5" t="inlineStr">
        <is>
          <t>子类型</t>
        </is>
      </c>
      <c r="C5" s="5" t="inlineStr">
        <is>
          <t>文本</t>
        </is>
      </c>
      <c r="D5" s="6" t="inlineStr">
        <is>
          <t>路线主题或游记类型</t>
        </is>
      </c>
      <c r="E5" s="6" t="inlineStr">
        <is>
          <t>徒步一日游</t>
        </is>
      </c>
    </row>
    <row r="6">
      <c r="A6" s="5" t="inlineStr">
        <is>
          <t>title</t>
        </is>
      </c>
      <c r="B6" s="5" t="inlineStr">
        <is>
          <t>标题</t>
        </is>
      </c>
      <c r="C6" s="5" t="inlineStr">
        <is>
          <t>文本</t>
        </is>
      </c>
      <c r="D6" s="6" t="inlineStr">
        <is>
          <t>页面标题或人工核定标题</t>
        </is>
      </c>
      <c r="E6" s="6" t="inlineStr">
        <is>
          <t>户外体验一日游</t>
        </is>
      </c>
    </row>
    <row r="7">
      <c r="A7" s="5" t="inlineStr">
        <is>
          <t>author</t>
        </is>
      </c>
      <c r="B7" s="5" t="inlineStr">
        <is>
          <t>作者</t>
        </is>
      </c>
      <c r="C7" s="5" t="inlineStr">
        <is>
          <t>文本</t>
        </is>
      </c>
      <c r="D7" s="6" t="inlineStr">
        <is>
          <t>官方账号或游记作者；缺失记为“未知”</t>
        </is>
      </c>
      <c r="E7" s="6" t="inlineStr">
        <is>
          <t>武功山景区管理员</t>
        </is>
      </c>
    </row>
    <row r="8">
      <c r="A8" s="5" t="inlineStr">
        <is>
          <t>publish_date</t>
        </is>
      </c>
      <c r="B8" s="5" t="inlineStr">
        <is>
          <t>发布时间</t>
        </is>
      </c>
      <c r="C8" s="5" t="inlineStr">
        <is>
          <t>日期</t>
        </is>
      </c>
      <c r="D8" s="6" t="inlineStr">
        <is>
          <t>页面发布时间，统一为 YYYY-MM-DD</t>
        </is>
      </c>
      <c r="E8" s="6" t="inlineStr">
        <is>
          <t>2017-06-25</t>
        </is>
      </c>
    </row>
    <row r="9">
      <c r="A9" s="5" t="inlineStr">
        <is>
          <t>source_site</t>
        </is>
      </c>
      <c r="B9" s="5" t="inlineStr">
        <is>
          <t>来源站点</t>
        </is>
      </c>
      <c r="C9" s="5" t="inlineStr">
        <is>
          <t>文本</t>
        </is>
      </c>
      <c r="D9" s="6" t="inlineStr">
        <is>
          <t>网站/平台名称</t>
        </is>
      </c>
      <c r="E9" s="6" t="inlineStr">
        <is>
          <t>萍乡武功山景区官网</t>
        </is>
      </c>
    </row>
    <row r="10">
      <c r="A10" s="5" t="inlineStr">
        <is>
          <t>source_url</t>
        </is>
      </c>
      <c r="B10" s="5" t="inlineStr">
        <is>
          <t>来源链接</t>
        </is>
      </c>
      <c r="C10" s="5" t="inlineStr">
        <is>
          <t>URL</t>
        </is>
      </c>
      <c r="D10" s="6" t="inlineStr">
        <is>
          <t>原始页面地址，便于复核</t>
        </is>
      </c>
      <c r="E10" s="6" t="inlineStr">
        <is>
          <t>http://...id=104</t>
        </is>
      </c>
    </row>
    <row r="11">
      <c r="A11" s="5" t="inlineStr">
        <is>
          <t>extract_rule</t>
        </is>
      </c>
      <c r="B11" s="5" t="inlineStr">
        <is>
          <t>抽取规则</t>
        </is>
      </c>
      <c r="C11" s="5" t="inlineStr">
        <is>
          <t>文本</t>
        </is>
      </c>
      <c r="D11" s="6" t="inlineStr">
        <is>
          <t>正文定位所用规则</t>
        </is>
      </c>
      <c r="E11" s="6" t="inlineStr">
        <is>
          <t>官网-富文本div.raid-main</t>
        </is>
      </c>
    </row>
    <row r="12">
      <c r="A12" s="5" t="inlineStr">
        <is>
          <t>raw_content</t>
        </is>
      </c>
      <c r="B12" s="5" t="inlineStr">
        <is>
          <t>原始内容</t>
        </is>
      </c>
      <c r="C12" s="5" t="inlineStr">
        <is>
          <t>长文本</t>
        </is>
      </c>
      <c r="D12" s="6" t="inlineStr">
        <is>
          <t>正文抽取后、清洗前的文本</t>
        </is>
      </c>
      <c r="E12" s="6" t="inlineStr">
        <is>
          <t>简要行程
路线：石鼓寺--...</t>
        </is>
      </c>
    </row>
    <row r="13">
      <c r="A13" s="5" t="inlineStr">
        <is>
          <t>clean_content</t>
        </is>
      </c>
      <c r="B13" s="5" t="inlineStr">
        <is>
          <t>清洗后内容</t>
        </is>
      </c>
      <c r="C13" s="5" t="inlineStr">
        <is>
          <t>长文本</t>
        </is>
      </c>
      <c r="D13" s="6" t="inlineStr">
        <is>
          <t>去噪、规范化、去重后的文本</t>
        </is>
      </c>
      <c r="E13" s="6" t="inlineStr">
        <is>
          <t>简要行程
路线：石鼓寺--...</t>
        </is>
      </c>
    </row>
    <row r="14">
      <c r="A14" s="5" t="inlineStr">
        <is>
          <t>char_raw</t>
        </is>
      </c>
      <c r="B14" s="5" t="inlineStr">
        <is>
          <t>原始字数</t>
        </is>
      </c>
      <c r="C14" s="5" t="inlineStr">
        <is>
          <t>整数</t>
        </is>
      </c>
      <c r="D14" s="6" t="inlineStr">
        <is>
          <t>去除空白后的字符数</t>
        </is>
      </c>
      <c r="E14" s="6" t="inlineStr">
        <is>
          <t>215</t>
        </is>
      </c>
    </row>
    <row r="15">
      <c r="A15" s="5" t="inlineStr">
        <is>
          <t>char_clean</t>
        </is>
      </c>
      <c r="B15" s="5" t="inlineStr">
        <is>
          <t>清洗后字数</t>
        </is>
      </c>
      <c r="C15" s="5" t="inlineStr">
        <is>
          <t>整数</t>
        </is>
      </c>
      <c r="D15" s="6" t="inlineStr">
        <is>
          <t>去除空白后的字符数</t>
        </is>
      </c>
      <c r="E15" s="6" t="inlineStr">
        <is>
          <t>215</t>
        </is>
      </c>
    </row>
    <row r="16">
      <c r="A16" s="5" t="inlineStr">
        <is>
          <t>para_raw</t>
        </is>
      </c>
      <c r="B16" s="5" t="inlineStr">
        <is>
          <t>原始段落数</t>
        </is>
      </c>
      <c r="C16" s="5" t="inlineStr">
        <is>
          <t>整数</t>
        </is>
      </c>
      <c r="D16" s="6" t="inlineStr">
        <is>
          <t>按换行切分的非空段落数</t>
        </is>
      </c>
      <c r="E16" s="6" t="inlineStr">
        <is>
          <t>4</t>
        </is>
      </c>
    </row>
    <row r="17">
      <c r="A17" s="5" t="inlineStr">
        <is>
          <t>para_clean</t>
        </is>
      </c>
      <c r="B17" s="5" t="inlineStr">
        <is>
          <t>清洗后段落数</t>
        </is>
      </c>
      <c r="C17" s="5" t="inlineStr">
        <is>
          <t>整数</t>
        </is>
      </c>
      <c r="D17" s="6" t="inlineStr">
        <is>
          <t>按换行切分的非空段落数</t>
        </is>
      </c>
      <c r="E17" s="6" t="inlineStr">
        <is>
          <t>4</t>
        </is>
      </c>
    </row>
    <row r="18">
      <c r="A18" s="5" t="inlineStr">
        <is>
          <t>removed_char_ratio</t>
        </is>
      </c>
      <c r="B18" s="5" t="inlineStr">
        <is>
          <t>删除字符比例</t>
        </is>
      </c>
      <c r="C18" s="5" t="inlineStr">
        <is>
          <t>小数</t>
        </is>
      </c>
      <c r="D18" s="6" t="inlineStr">
        <is>
          <t>1 - 清洗后字数/原始字数</t>
        </is>
      </c>
      <c r="E18" s="6" t="inlineStr">
        <is>
          <t>0.0123</t>
        </is>
      </c>
    </row>
    <row r="19">
      <c r="A19" s="5" t="inlineStr">
        <is>
          <t>noise_lines_removed</t>
        </is>
      </c>
      <c r="B19" s="5" t="inlineStr">
        <is>
          <t>删除噪声行</t>
        </is>
      </c>
      <c r="C19" s="5" t="inlineStr">
        <is>
          <t>整数</t>
        </is>
      </c>
      <c r="D19" s="6" t="inlineStr">
        <is>
          <t>导航、按钮、版权等整行删除数</t>
        </is>
      </c>
      <c r="E19" s="6" t="inlineStr">
        <is>
          <t>3</t>
        </is>
      </c>
    </row>
    <row r="20">
      <c r="A20" s="5" t="inlineStr">
        <is>
          <t>emoji_removed</t>
        </is>
      </c>
      <c r="B20" s="5" t="inlineStr">
        <is>
          <t>删除表情符号</t>
        </is>
      </c>
      <c r="C20" s="5" t="inlineStr">
        <is>
          <t>整数</t>
        </is>
      </c>
      <c r="D20" s="6" t="inlineStr">
        <is>
          <t>emoji/特殊符号删除字符数</t>
        </is>
      </c>
      <c r="E20" s="6" t="inlineStr">
        <is>
          <t>12</t>
        </is>
      </c>
    </row>
    <row r="21">
      <c r="A21" s="5" t="inlineStr">
        <is>
          <t>urls_removed</t>
        </is>
      </c>
      <c r="B21" s="5" t="inlineStr">
        <is>
          <t>删除链接</t>
        </is>
      </c>
      <c r="C21" s="5" t="inlineStr">
        <is>
          <t>整数</t>
        </is>
      </c>
      <c r="D21" s="6" t="inlineStr">
        <is>
          <t>URL/邮箱删除数</t>
        </is>
      </c>
      <c r="E21" s="6" t="inlineStr">
        <is>
          <t>2</t>
        </is>
      </c>
    </row>
    <row r="22">
      <c r="A22" s="5" t="inlineStr">
        <is>
          <t>dup_paragraphs_removed</t>
        </is>
      </c>
      <c r="B22" s="5" t="inlineStr">
        <is>
          <t>删除重复段落</t>
        </is>
      </c>
      <c r="C22" s="5" t="inlineStr">
        <is>
          <t>整数</t>
        </is>
      </c>
      <c r="D22" s="6" t="inlineStr">
        <is>
          <t>完全重复或相似度≥0.90 的段落数</t>
        </is>
      </c>
      <c r="E22" s="6" t="inlineStr">
        <is>
          <t>1</t>
        </is>
      </c>
    </row>
    <row r="23">
      <c r="A23" s="5" t="inlineStr">
        <is>
          <t>quality_flags</t>
        </is>
      </c>
      <c r="B23" s="5" t="inlineStr">
        <is>
          <t>质量标记</t>
        </is>
      </c>
      <c r="C23" s="5" t="inlineStr">
        <is>
          <t>文本</t>
        </is>
      </c>
      <c r="D23" s="6" t="inlineStr">
        <is>
          <t>分号分隔的质量问题/处理记录</t>
        </is>
      </c>
      <c r="E23" s="6" t="inlineStr">
        <is>
          <t>站点噪声已清理；作者缺失</t>
        </is>
      </c>
    </row>
    <row r="24">
      <c r="A24" s="5" t="inlineStr">
        <is>
          <t>is_valid</t>
        </is>
      </c>
      <c r="B24" s="5" t="inlineStr">
        <is>
          <t>是否有效</t>
        </is>
      </c>
      <c r="C24" s="5" t="inlineStr">
        <is>
          <t>布尔</t>
        </is>
      </c>
      <c r="D24" s="6" t="inlineStr">
        <is>
          <t>达到最低字数与信息量要求</t>
        </is>
      </c>
      <c r="E24" s="6" t="inlineStr">
        <is>
          <t>TRUE</t>
        </is>
      </c>
    </row>
    <row r="25">
      <c r="A25" s="5" t="inlineStr">
        <is>
          <t>clean_hash</t>
        </is>
      </c>
      <c r="B25" s="5" t="inlineStr">
        <is>
          <t>文本指纹</t>
        </is>
      </c>
      <c r="C25" s="5" t="inlineStr">
        <is>
          <t>文本</t>
        </is>
      </c>
      <c r="D25" s="6" t="inlineStr">
        <is>
          <t>清洗后文本 SHA1，用于查重</t>
        </is>
      </c>
      <c r="E25" s="6" t="inlineStr">
        <is>
          <t>a1b2...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26" customWidth="1" min="1" max="1"/>
    <col width="16" customWidth="1" min="2" max="2"/>
    <col width="58" customWidth="1" min="3" max="3"/>
  </cols>
  <sheetData>
    <row r="1">
      <c r="A1" s="1" t="inlineStr">
        <is>
          <t>数据质量检查指标</t>
        </is>
      </c>
    </row>
    <row r="3">
      <c r="A3" s="4" t="inlineStr">
        <is>
          <t>指标</t>
        </is>
      </c>
      <c r="B3" s="4" t="inlineStr">
        <is>
          <t>数值</t>
        </is>
      </c>
      <c r="C3" s="4" t="inlineStr">
        <is>
          <t>说明</t>
        </is>
      </c>
    </row>
    <row r="4">
      <c r="A4" s="5" t="inlineStr">
        <is>
          <t>记录总数</t>
        </is>
      </c>
      <c r="B4" s="5" t="n">
        <v>14</v>
      </c>
      <c r="C4" s="6" t="inlineStr">
        <is>
          <t>官方+游记</t>
        </is>
      </c>
    </row>
    <row r="5">
      <c r="A5" s="5" t="inlineStr">
        <is>
          <t>有效记录数</t>
        </is>
      </c>
      <c r="B5" s="5" t="n">
        <v>13</v>
      </c>
      <c r="C5" s="6" t="inlineStr">
        <is>
          <t>达到最低字数与信息量要求</t>
        </is>
      </c>
    </row>
    <row r="6">
      <c r="A6" s="5" t="inlineStr">
        <is>
          <t>有效官方路线</t>
        </is>
      </c>
      <c r="B6" s="5" t="n">
        <v>6</v>
      </c>
      <c r="C6" s="6" t="inlineStr">
        <is>
          <t>要求 ≥1</t>
        </is>
      </c>
    </row>
    <row r="7">
      <c r="A7" s="5" t="inlineStr">
        <is>
          <t>有效游客游记</t>
        </is>
      </c>
      <c r="B7" s="5" t="n">
        <v>7</v>
      </c>
      <c r="C7" s="6" t="inlineStr">
        <is>
          <t>要求 ≥3（任务书写 5 篇，实际可用 7 篇）</t>
        </is>
      </c>
    </row>
    <row r="8">
      <c r="A8" s="5" t="inlineStr">
        <is>
          <t>是否满足任务要求</t>
        </is>
      </c>
      <c r="B8" s="5" t="inlineStr">
        <is>
          <t>是</t>
        </is>
      </c>
      <c r="C8" s="6" t="inlineStr">
        <is>
          <t>按任务书最低要求判定</t>
        </is>
      </c>
    </row>
    <row r="9">
      <c r="A9" s="5" t="inlineStr">
        <is>
          <t>作者缺失</t>
        </is>
      </c>
      <c r="B9" s="5" t="n">
        <v>2</v>
      </c>
      <c r="C9" s="6" t="inlineStr">
        <is>
          <t>已在质量标记中注明</t>
        </is>
      </c>
    </row>
    <row r="10">
      <c r="A10" s="5" t="inlineStr">
        <is>
          <t>日期缺失</t>
        </is>
      </c>
      <c r="B10" s="5" t="n">
        <v>0</v>
      </c>
      <c r="C10" s="6" t="inlineStr">
        <is>
          <t>发布时间统一为 YYYY-MM-DD</t>
        </is>
      </c>
    </row>
    <row r="11">
      <c r="A11" s="5" t="inlineStr">
        <is>
          <t>文档级完全重复</t>
        </is>
      </c>
      <c r="B11" s="5" t="n">
        <v>0</v>
      </c>
      <c r="C11" s="6" t="inlineStr">
        <is>
          <t>按清洗后文本 SHA1 判定</t>
        </is>
      </c>
    </row>
    <row r="12">
      <c r="A12" s="5" t="inlineStr">
        <is>
          <t>文档级高度相似</t>
        </is>
      </c>
      <c r="B12" s="5" t="n">
        <v>0</v>
      </c>
      <c r="C12" s="6" t="inlineStr">
        <is>
          <t>前 600 字相似度 ≥0.85</t>
        </is>
      </c>
    </row>
    <row r="13">
      <c r="A13" s="5" t="inlineStr">
        <is>
          <t>含编码替换符的记录</t>
        </is>
      </c>
      <c r="B13" s="5" t="n">
        <v>0</v>
      </c>
      <c r="C13" s="6" t="inlineStr">
        <is>
          <t>共 0 个 U+FFFD，清洗时删除</t>
        </is>
      </c>
    </row>
    <row r="14">
      <c r="A14" s="5" t="inlineStr">
        <is>
          <t>含路线分隔符的记录</t>
        </is>
      </c>
      <c r="B14" s="5" t="n">
        <v>8</v>
      </c>
      <c r="C14" s="6" t="inlineStr">
        <is>
          <t>包含 -- / — / →，可支撑项目3路线解析</t>
        </is>
      </c>
    </row>
    <row r="15">
      <c r="A15" s="5" t="inlineStr">
        <is>
          <t>原始总字数</t>
        </is>
      </c>
      <c r="B15" s="5" t="n">
        <v>15769</v>
      </c>
      <c r="C15" s="6" t="inlineStr">
        <is>
          <t>去空白</t>
        </is>
      </c>
    </row>
    <row r="16">
      <c r="A16" s="5" t="inlineStr">
        <is>
          <t>清洗后总字数</t>
        </is>
      </c>
      <c r="B16" s="5" t="n">
        <v>15134</v>
      </c>
      <c r="C16" s="6" t="inlineStr">
        <is>
          <t>去空白</t>
        </is>
      </c>
    </row>
    <row r="17">
      <c r="A17" s="5" t="inlineStr">
        <is>
          <t>平均字数（清洗后）</t>
        </is>
      </c>
      <c r="B17" s="5" t="n">
        <v>1081</v>
      </c>
      <c r="C17" s="6" t="inlineStr">
        <is>
          <t>含短文本，中位数更稳健</t>
        </is>
      </c>
    </row>
    <row r="18">
      <c r="A18" s="5" t="inlineStr">
        <is>
          <t>中位数字数（清洗后）</t>
        </is>
      </c>
      <c r="B18" s="5" t="n">
        <v>886</v>
      </c>
      <c r="C18" s="6" t="inlineStr"/>
    </row>
    <row r="19">
      <c r="A19" s="5" t="inlineStr">
        <is>
          <t>最短/最长（清洗后）</t>
        </is>
      </c>
      <c r="B19" s="5" t="inlineStr">
        <is>
          <t>33 / 3418</t>
        </is>
      </c>
      <c r="C19" s="6" t="inlineStr">
        <is>
          <t>最短为图片为主游记</t>
        </is>
      </c>
    </row>
    <row r="20">
      <c r="A20" s="5" t="inlineStr">
        <is>
          <t>整体删除字符比例</t>
        </is>
      </c>
      <c r="B20" s="5" t="inlineStr">
        <is>
          <t>4.03%</t>
        </is>
      </c>
      <c r="C20" s="6" t="inlineStr">
        <is>
          <t>清洗造成的字符减少比例</t>
        </is>
      </c>
    </row>
    <row r="21">
      <c r="A21" s="5" t="inlineStr">
        <is>
          <t>删除噪声行合计</t>
        </is>
      </c>
      <c r="B21" s="5" t="n">
        <v>18</v>
      </c>
      <c r="C21" s="6" t="inlineStr">
        <is>
          <t>导航、按钮、版权、附件信息等</t>
        </is>
      </c>
    </row>
    <row r="22">
      <c r="A22" s="5" t="inlineStr">
        <is>
          <t>删除表情符号合计</t>
        </is>
      </c>
      <c r="B22" s="5" t="n">
        <v>50</v>
      </c>
      <c r="C22" s="6" t="inlineStr">
        <is>
          <t>emoji 及特殊装饰符</t>
        </is>
      </c>
    </row>
    <row r="23">
      <c r="A23" s="5" t="inlineStr">
        <is>
          <t>删除链接合计</t>
        </is>
      </c>
      <c r="B23" s="5" t="n">
        <v>1</v>
      </c>
      <c r="C23" s="6" t="inlineStr">
        <is>
          <t>URL/邮箱</t>
        </is>
      </c>
    </row>
    <row r="24">
      <c r="A24" s="5" t="inlineStr">
        <is>
          <t>删除重复段落合计</t>
        </is>
      </c>
      <c r="B24" s="5" t="n">
        <v>2</v>
      </c>
      <c r="C24" s="6" t="inlineStr">
        <is>
          <t>完全重复或相似度 ≥0.90</t>
        </is>
      </c>
    </row>
    <row r="27">
      <c r="A27" s="8" t="inlineStr">
        <is>
          <t>各来源站点记录数</t>
        </is>
      </c>
    </row>
    <row r="28">
      <c r="A28" s="4" t="inlineStr">
        <is>
          <t>来源站点</t>
        </is>
      </c>
      <c r="B28" s="4" t="inlineStr">
        <is>
          <t>记录数</t>
        </is>
      </c>
    </row>
    <row r="29">
      <c r="A29" s="5" t="inlineStr">
        <is>
          <t>萍乡武功山景区官网</t>
        </is>
      </c>
      <c r="B29" s="5" t="n">
        <v>6</v>
      </c>
    </row>
    <row r="30">
      <c r="A30" s="5" t="inlineStr">
        <is>
          <t>豆瓣小组</t>
        </is>
      </c>
      <c r="B30" s="5" t="n">
        <v>3</v>
      </c>
    </row>
    <row r="31">
      <c r="A31" s="5" t="inlineStr">
        <is>
          <t>简书</t>
        </is>
      </c>
      <c r="B31" s="5" t="n">
        <v>2</v>
      </c>
    </row>
    <row r="32">
      <c r="A32" s="5" t="inlineStr">
        <is>
          <t>搜狐号</t>
        </is>
      </c>
      <c r="B32" s="5" t="n">
        <v>2</v>
      </c>
    </row>
    <row r="33">
      <c r="A33" s="5" t="inlineStr">
        <is>
          <t>8264户外论坛</t>
        </is>
      </c>
      <c r="B33" s="5" t="n">
        <v>1</v>
      </c>
    </row>
    <row r="36">
      <c r="A36" s="8" t="inlineStr">
        <is>
          <t>质量标记分布</t>
        </is>
      </c>
    </row>
    <row r="37">
      <c r="A37" s="4" t="inlineStr">
        <is>
          <t>质量标记</t>
        </is>
      </c>
      <c r="B37" s="4" t="inlineStr">
        <is>
          <t>次数</t>
        </is>
      </c>
    </row>
    <row r="38">
      <c r="A38" s="5" t="inlineStr">
        <is>
          <t>站点噪声已清理</t>
        </is>
      </c>
      <c r="B38" s="5" t="n">
        <v>5</v>
      </c>
    </row>
    <row r="39">
      <c r="A39" s="5" t="inlineStr">
        <is>
          <t>重复段落已去除</t>
        </is>
      </c>
      <c r="B39" s="5" t="n">
        <v>2</v>
      </c>
    </row>
    <row r="40">
      <c r="A40" s="5" t="inlineStr">
        <is>
          <t>表情符号已清理</t>
        </is>
      </c>
      <c r="B40" s="5" t="n">
        <v>2</v>
      </c>
    </row>
    <row r="41">
      <c r="A41" s="5" t="inlineStr">
        <is>
          <t>作者缺失</t>
        </is>
      </c>
      <c r="B41" s="5" t="n">
        <v>2</v>
      </c>
    </row>
    <row r="42">
      <c r="A42" s="5" t="inlineStr">
        <is>
          <t>链接已清理</t>
        </is>
      </c>
      <c r="B42" s="5" t="n">
        <v>1</v>
      </c>
    </row>
    <row r="43">
      <c r="A43" s="5" t="inlineStr">
        <is>
          <t>文本过短</t>
        </is>
      </c>
      <c r="B43" s="5" t="n">
        <v>1</v>
      </c>
    </row>
    <row r="44">
      <c r="A44" s="5" t="inlineStr">
        <is>
          <t>图片为主</t>
        </is>
      </c>
      <c r="B44" s="5" t="n">
        <v>1</v>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70" customWidth="1" min="3" max="3"/>
    <col width="70" customWidth="1" min="4" max="4"/>
    <col width="9" customWidth="1" min="5" max="5"/>
    <col width="10" customWidth="1" min="6" max="6"/>
    <col width="9" customWidth="1" min="7" max="7"/>
    <col width="28" customWidth="1" min="8" max="8"/>
  </cols>
  <sheetData>
    <row r="1">
      <c r="A1" s="4" t="inlineStr">
        <is>
          <t>记录ID</t>
        </is>
      </c>
      <c r="B1" s="4" t="inlineStr">
        <is>
          <t>标题</t>
        </is>
      </c>
      <c r="C1" s="4" t="inlineStr">
        <is>
          <t>清洗前（前500字）</t>
        </is>
      </c>
      <c r="D1" s="4" t="inlineStr">
        <is>
          <t>清洗后（前500字）</t>
        </is>
      </c>
      <c r="E1" s="4" t="inlineStr">
        <is>
          <t>原始字数</t>
        </is>
      </c>
      <c r="F1" s="4" t="inlineStr">
        <is>
          <t>清洗后字数</t>
        </is>
      </c>
      <c r="G1" s="4" t="inlineStr">
        <is>
          <t>删除比例</t>
        </is>
      </c>
      <c r="H1" s="4" t="inlineStr">
        <is>
          <t>主要处理</t>
        </is>
      </c>
    </row>
    <row r="2" ht="120" customHeight="1">
      <c r="A2" s="5" t="inlineStr">
        <is>
          <t>WGS-T-01</t>
        </is>
      </c>
      <c r="B2" s="6" t="inlineStr">
        <is>
          <t>端午之武功山徒步</t>
        </is>
      </c>
      <c r="C2" s="6" t="inlineStr">
        <is>
          <t>豆瓣小站：http://site.douban.com/nf1799/
豆瓣小组：http://www.douban.com/group/
新浪微博：http://weibo.com/u/1865894115
游记详帖：http://www.nf1799.com/read.php?tid=25914
全程：上山——二十X公里；负重三十X斤；雨ing；行进六小时
下山——NNN个台阶；负重三十X斤；雨ing；行进三个半小时。
-----------------------------------------------------------------------------------------------------------------------) Q- ?&amp; J S' j4 o
想去武功山很久了，之前报了一个武功山穿越的团，但是最后终究因为人数不够没有成行。正在考虑端午该如何计划一下的时候，又接到某某人推荐的一个武功山逃票线路，虽然比穿越线路强度小了好多，但是感觉应该也还不错，就毫不犹豫的报名。4 Y" F$ a" [* O; ?/ D
帐篷、睡袋什么的都准备好了，只盼</t>
        </is>
      </c>
      <c r="D2" s="6" t="inlineStr">
        <is>
          <t>全程：上山——二十X公里；负重三十X斤；雨ing；行进六小时
下山——NNN个台阶；负重三十X斤；雨ing；行进三个半小时。
想去武功山很久了，之前报了一个武功山穿越的团，但是最后终究因为人数不够没有成行。正在考虑端午该如何计划一下的时候，又接到某某人推荐的一个武功山逃票线路，虽然比穿越线路强度小了好多，但是感觉应该也还不错，就毫不犹豫的报名。
帐篷、睡袋什么的都准备好了，只盼着能有个好天气，一查天气预报，武功山这两天全是雨。无奈之下还是出发了，只在祈祷天气预报能像往常一样不准。
等待，上车，早上4点左右准点到达萍乡，才发现原来我们是多个户外俱乐部的拼团。无话，大巴一个多小时终于绕到了山脚下，这时候，天蒙蒙亮，天阴，但是还没下雨。
在山脚下的一个接待站吃早餐，只有米粉加一煎蛋，7块钱，还行。吃完后不到六点，准备出发。这时候，天气开始下起小雨，只好把相机挤进背包，罩好背包防雨罩六点整开始了徒步行程。 越走雨越大，还好走的基本都是山路，虽然很崎岖，但是树和竹子很多，所以，雨好似是小了一点点。先是田间小路，再是竹林，森林，差不多三个小时，终于走到了草甸，路是稍稍好走了一些，但是周围全是雨雾，</t>
        </is>
      </c>
      <c r="E2" s="5" t="n">
        <v>1688</v>
      </c>
      <c r="F2" s="5" t="n">
        <v>1397</v>
      </c>
      <c r="G2" s="5" t="inlineStr">
        <is>
          <t>17.24%</t>
        </is>
      </c>
      <c r="H2" s="6" t="inlineStr">
        <is>
          <t>站点噪声已清理；链接已清理</t>
        </is>
      </c>
    </row>
    <row r="3" ht="120" customHeight="1">
      <c r="A3" s="5" t="inlineStr">
        <is>
          <t>WGS-T-02</t>
        </is>
      </c>
      <c r="B3" s="6" t="inlineStr">
        <is>
          <t>武功山——偶遇游望，结缘酱瓜</t>
        </is>
      </c>
      <c r="C3" s="6" t="inlineStr">
        <is>
          <t>本帖最后由 140502 于 2014-11-24 18:24 编辑
写在前面的话：
在五一还没到的时候大家就在讨论五一要去哪里玩儿，原本计划是和莲去崇明导两日游，去下东滩湿地公园和西滩森林公园，吃吃烧烤骑骑单车。突然有一天在豆瓣网上看到了上海的一个户外驴友组织五一要去徒步穿越七尖山，打开链接很吸引我，然后就改变方案了，准备穿越，可是莲担心走不下来就不去了；因为没有穿越的经验，就把这个活动链接发给同学看，他说你去七尖还不如和我们一起去武功山，可是时间安排的好紧张，担心不能走下来；经过讨论之后我决定去武功山，安全起见，有个熟悉的人也比较好一点，好吧，我决定从上海出发到萍乡和驴友团汇合，然后5.3号自己再回上海。
这么决定以后我就看是购买来回的车票和徒步登山需要的装备，并且开始每天跑步一小时，锻炼下耐力和体力，我不想到时候拖小伙伴的后腿，徒步穿越的各种装备按照帖子上的要求一一备齐，当然有些还没是没有准备，比如帐篷、手套，本着轻装的原则，我就简单一些。 。。徒步穿越开始：
我是不幸的又是幸运的。说不幸是因为同学的驴友团因为五一路上堵车，而且联系不上。说幸运是我准时5.1日6点到萍乡，</t>
        </is>
      </c>
      <c r="D3" s="6" t="inlineStr">
        <is>
          <t>写在前面的话：
在五一还没到的时候大家就在讨论五一要去哪里玩儿，原本计划是和莲去崇明导两日游，去下东滩湿地公园和西滩森林公园，吃吃烧烤骑骑单车。突然有一天在豆瓣网上看到了上海的一个户外驴友组织五一要去徒步穿越七尖山，打开链接很吸引我，然后就改变方案了，准备穿越，可是莲担心走不下来就不去了；因为没有穿越的经验，就把这个活动链接发给同学看，他说你去七尖还不如和我们一起去武功山，可是时间安排的好紧张，担心不能走下来；经过讨论之后我决定去武功山，安全起见，有个熟悉的人也比较好一点，好吧，我决定从上海出发到萍乡和驴友团汇合，然后5.3号自己再回上海。
这么决定以后我就看是购买来回的车票和徒步登山需要的装备，并且开始每天跑步一小时，锻炼下耐力和体力，我不想到时候拖小伙伴的后腿，徒步穿越的各种装备按照帖子上的要求一一备齐，当然有些还没是没有准备，比如帐篷、手套，本着轻装的原则，我就简单一些。 ……徒步穿越开始：
我是不幸的又是幸运的。说不幸是因为同学的驴友团因为五一路上堵车，而且联系不上。说幸运是我准时5.1日6点到萍乡，火车站遇到义乌的2个驴友，拼车去了沈子村，再三联系驴友团无果之下，决定和义乌驴</t>
        </is>
      </c>
      <c r="E3" s="5" t="n">
        <v>1865</v>
      </c>
      <c r="F3" s="5" t="n">
        <v>1715</v>
      </c>
      <c r="G3" s="5" t="inlineStr">
        <is>
          <t>8.04%</t>
        </is>
      </c>
      <c r="H3" s="6" t="inlineStr">
        <is>
          <t>站点噪声已清理</t>
        </is>
      </c>
    </row>
    <row r="4" ht="120" customHeight="1">
      <c r="A4" s="5" t="inlineStr">
        <is>
          <t>WGS-T-03</t>
        </is>
      </c>
      <c r="B4" s="6" t="inlineStr">
        <is>
          <t>攻略｜武功山两天一夜攻略，建议收藏</t>
        </is>
      </c>
      <c r="C4" s="6" t="inlineStr">
        <is>
          <t>武功山两天一夜攻略｜不收藏绝对后悔篇
草甸｜日出｜星空｜云海｜日落
📍武功山位于江西省萍乡市
✈️行前准备
✅看天气预报☀️最好大太阳出发，能看见日出🌅和日落🌄
✅如果只玩两天可直接背书包就行，一般大家都是从江西南昌过去，或者湖南长沙过去。
✅提前关注“武功山”公众号，提前一天购票优惠10元
✅学生可搜索🔍小程序“云游江西”认证学生身份并提前一天预约可免门票‼️（一定要提前预约）
小程序预约
🧳 行李准备
1️⃣证件：身份证，银行卡，学生证
2️⃣衣服：登山的鞋，厚外套，袜子，毛巾，防晒袖，防晒霜，换洗衣服
3️⃣电子：充电宝（建议带两个），耳机，手电，相机
4️⃣零食：建议带轻零食的，多带点，水可以背3瓶，太多就重了。（鸭脖，泡面，自热火锅，薯片，水果……）
5️⃣其他：纸巾，伞（伞在山顶没有用会吹坏），雨衣，驱蚊啥的可以不带因为山顶很冷，蚊子没有。
6️⃣⚠️ 山顶不管夏天还是冬天都特别冷，空气潮湿，所以厚外套一定要带！
🚗交通
萍乡有两个站，萍乡站（火车站），萍乡北站（高铁站）
萍乡站🚂
发车时间： 首车为6:00 末车为17：30
乘坐时间：路程 1个小时20分钟
乘坐地</t>
        </is>
      </c>
      <c r="D4" s="6" t="inlineStr">
        <is>
          <t>武功山两天一夜攻略｜不收藏绝对后悔篇
草甸｜日出｜星空｜云海｜日落
武功山位于江西省萍乡市
行前准备
看天气预报最好大太阳出发，能看见日出和日落
如果只玩两天可直接背书包就行，一般大家都是从江西南昌过去，或者湖南长沙过去。
提前关注“武功山”公众号，提前一天购票优惠10元
学生可搜索小程序“云游江西”认证学生身份并提前一天预约可免门票（一定要提前预约）
小程序预约
行李准备
1. 证件：身份证，银行卡，学生证
2. 衣服：登山的鞋，厚外套，袜子，毛巾，防晒袖，防晒霜，换洗衣服
3. 电子：充电宝（建议带两个），耳机，手电，相机
4. 零食：建议带轻零食的，多带点，水可以背3瓶，太多就重了。（鸭脖，泡面，自热火锅，薯片，水果……）
5. 其他：纸巾，伞（伞在山顶没有用会吹坏），雨衣，驱蚊啥的可以不带因为山顶很冷，蚊子没有。
6. 山顶不管夏天还是冬天都特别冷，空气潮湿，所以厚外套一定要带！
交通
萍乡有两个站，萍乡站（火车站），萍乡北站（高铁站）
萍乡站
发车时间： 首车为6:00 末车为17：30
乘坐时间：路程 1个小时20分钟
乘坐地点： 出站口客运站大概步行3分钟
乘车价格： 2</t>
        </is>
      </c>
      <c r="E4" s="5" t="n">
        <v>1268</v>
      </c>
      <c r="F4" s="5" t="n">
        <v>1196</v>
      </c>
      <c r="G4" s="5" t="inlineStr">
        <is>
          <t>5.68%</t>
        </is>
      </c>
      <c r="H4" s="6" t="inlineStr">
        <is>
          <t>表情符号已清理；重复段落已去除</t>
        </is>
      </c>
    </row>
    <row r="5" ht="120" customHeight="1">
      <c r="A5" s="5" t="inlineStr">
        <is>
          <t>WGS-T-07</t>
        </is>
      </c>
      <c r="B5" s="6" t="inlineStr">
        <is>
          <t>草已黄，人未老，武功山上见分晓</t>
        </is>
      </c>
      <c r="C5" s="6" t="inlineStr">
        <is>
          <t>登上武功山，是我多年以来的心愿。早就想去一睹武功山上那壮观的云海和茫茫的草甸，这个冬日，我终于如愿以偿，好友相邀，八人成行，意气风发地向武功山进发了。
萍乡武功山乃江西第一高峰，有道是“东南天柱有三，盖衡，庐与武功”；当年许霞客游武功山后，曾赋诗一首《武功游》，赞叹武功山壮美风光，他写道：“千峰嵯峨碧玉簪，五岭堪比武功山”。
近年来，萍乡武功山景区潜心打造“户外天堂”的名号，从徒步到骑行，从攀岩到漂流，从露营到滑雪，武功山成了年轻人趋之若鹜的户外胜地。
然而，攀登武功山对我们来说并非一件容易的事，我们八人中虽然有90后的青壮年，但也有80岁的“杖朝”老人，平均下来年龄达到50岁以上，另外还有刚刚出院的病号，要登上1918米的山巅金顶，对于我们来说，的确是一次的挑战。
登武功山的方式有新手级、选手级、专业级等多种选择，我们本着量力而行的原则，明智地选择了适合体力较弱和初次来武功山的“新手级轻松走路线”方式。
我们从游客中心出发，乘坐观光车到达山门的石鼓寺，接着坐索道到达“中庵”，从这里开始徒步爬山，沿着紫金宫方向前行；中途经过好汉坡，这里是整个武功山中最陡峭的地方，石怪峰奇，悬</t>
        </is>
      </c>
      <c r="D5" s="6" t="inlineStr">
        <is>
          <t xml:space="preserve">登上武功山，是我多年以来的心愿。早就想去一睹武功山上那壮观的云海和茫茫的草甸，这个冬日，我终于如愿以偿，好友相邀，八人成行，意气风发地向武功山进发了。
萍乡武功山乃江西第一高峰，有道是“东南天柱有三，盖衡，庐与武功”；当年许霞客游武功山后，曾赋诗一首《武功游》，赞叹武功山壮美风光，他写道：“千峰嵯峨碧玉簪，五岭堪比武功山”。
近年来，萍乡武功山景区潜心打造“户外天堂”的名号，从徒步到骑行，从攀岩到漂流，从露营到滑雪，武功山成了年轻人趋之若鹜的户外胜地。
然而，攀登武功山对我们来说并非一件容易的事，我们八人中虽然有90后的青壮年，但也有80岁的“杖朝”老人，平均下来年龄达到50岁以上，另外还有刚刚出院的病号，要登上1918米的山巅金顶，对于我们来说，的确是一次的挑战。
登武功山的方式有新手级、选手级、专业级等多种选择，我们本着量力而行的原则，明智地选择了适合体力较弱和初次来武功山的“新手级轻松走路线”方式。
我们从游客中心出发，乘坐观光车到达山门的石鼓寺，接着坐索道到达“中庵”，从这里开始徒步爬山，沿着紫金宫方向前行；中途经过好汉坡，这里是整个武功山中最陡峭的地方，石怪峰奇，悬崖万丈。
</t>
        </is>
      </c>
      <c r="E5" s="5" t="n">
        <v>1012</v>
      </c>
      <c r="F5" s="5" t="n">
        <v>943</v>
      </c>
      <c r="G5" s="5" t="inlineStr">
        <is>
          <t>6.82%</t>
        </is>
      </c>
      <c r="H5" s="6" t="inlineStr">
        <is>
          <t>站点噪声已清理</t>
        </is>
      </c>
    </row>
    <row r="6" ht="120" customHeight="1">
      <c r="A6" s="5" t="inlineStr">
        <is>
          <t>WGS-O-01</t>
        </is>
      </c>
      <c r="B6" s="6" t="inlineStr">
        <is>
          <t>户外体验一日游</t>
        </is>
      </c>
      <c r="C6" s="6" t="inlineStr">
        <is>
          <t>简要行程
路线：石鼓寺--尽心桥--飙水岩瀑布--猴谷--紫极宫（中庵）--吊马桩--金顶(古祭坛群、环形栈道)--武功山神--武功神拳--金顶索道（或徒步走草甸之舟--狮象峰 --武功泉--情人花廊--福星谷）--高空栈道--许愿桥（悬索桥）--福星谷--紫极宫（中庵）-- 中庵索道--石鼓寺。
温馨提示：选择一日徒步游的游客，应合理安排好时间，正常体力的游客们可以在7小时内完成往返。由于徒步登山耗费体力较多，建议带上一些干粮和水。</t>
        </is>
      </c>
      <c r="D6" s="6" t="inlineStr">
        <is>
          <t>简要行程
路线：石鼓寺--尽心桥--飙水岩瀑布--猴谷--紫极宫（中庵）--吊马桩--金顶(古祭坛群、环形栈道)--武功山神--武功神拳--金顶索道（或徒步走草甸之舟--狮象峰 --武功泉--情人花廊--福星谷）--高空栈道--许愿桥（悬索桥）--福星谷--紫极宫（中庵）-- 中庵索道--石鼓寺。
温馨提示：选择一日徒步游的游客，应合理安排好时间，正常体力的游客们可以在7小时内完成往返。由于徒步登山耗费体力较多，建议带上一些干粮和水。</t>
        </is>
      </c>
      <c r="E6" s="5" t="n">
        <v>215</v>
      </c>
      <c r="F6" s="5" t="n">
        <v>215</v>
      </c>
      <c r="G6" s="5" t="inlineStr">
        <is>
          <t>0.00%</t>
        </is>
      </c>
      <c r="H6" s="6" t="inlineStr">
        <is>
          <t>无</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2" customWidth="1" min="1" max="1"/>
    <col width="12" customWidth="1" min="2" max="2"/>
    <col width="12" customWidth="1" min="3" max="3"/>
  </cols>
  <sheetData>
    <row r="1">
      <c r="A1" s="8" t="inlineStr">
        <is>
          <t>来源站点分布</t>
        </is>
      </c>
    </row>
    <row r="2">
      <c r="A2" s="4" t="inlineStr">
        <is>
          <t>来源站点</t>
        </is>
      </c>
      <c r="B2" s="4" t="inlineStr">
        <is>
          <t>记录数</t>
        </is>
      </c>
    </row>
    <row r="3">
      <c r="A3" s="5" t="inlineStr">
        <is>
          <t>萍乡武功山景区官网</t>
        </is>
      </c>
      <c r="B3" s="5" t="n">
        <v>6</v>
      </c>
    </row>
    <row r="4">
      <c r="A4" s="5" t="inlineStr">
        <is>
          <t>豆瓣小组</t>
        </is>
      </c>
      <c r="B4" s="5" t="n">
        <v>3</v>
      </c>
    </row>
    <row r="5">
      <c r="A5" s="5" t="inlineStr">
        <is>
          <t>简书</t>
        </is>
      </c>
      <c r="B5" s="5" t="n">
        <v>2</v>
      </c>
    </row>
    <row r="6">
      <c r="A6" s="5" t="inlineStr">
        <is>
          <t>搜狐号</t>
        </is>
      </c>
      <c r="B6" s="5" t="n">
        <v>2</v>
      </c>
    </row>
    <row r="7">
      <c r="A7" s="5" t="inlineStr">
        <is>
          <t>8264户外论坛</t>
        </is>
      </c>
      <c r="B7" s="5" t="n">
        <v>1</v>
      </c>
    </row>
    <row r="20">
      <c r="A20" s="8" t="inlineStr">
        <is>
          <t>各文档字数（原始 vs 清洗后）</t>
        </is>
      </c>
    </row>
    <row r="21">
      <c r="A21" s="4" t="inlineStr">
        <is>
          <t>记录ID</t>
        </is>
      </c>
      <c r="B21" s="4" t="inlineStr">
        <is>
          <t>原始字数</t>
        </is>
      </c>
      <c r="C21" s="4" t="inlineStr">
        <is>
          <t>清洗后字数</t>
        </is>
      </c>
    </row>
    <row r="22">
      <c r="A22" s="5" t="inlineStr">
        <is>
          <t>WGS-O-01</t>
        </is>
      </c>
      <c r="B22" s="5" t="n">
        <v>215</v>
      </c>
      <c r="C22" s="5" t="n">
        <v>215</v>
      </c>
    </row>
    <row r="23">
      <c r="A23" s="5" t="inlineStr">
        <is>
          <t>WGS-O-02</t>
        </is>
      </c>
      <c r="B23" s="5" t="n">
        <v>254</v>
      </c>
      <c r="C23" s="5" t="n">
        <v>254</v>
      </c>
    </row>
    <row r="24">
      <c r="A24" s="5" t="inlineStr">
        <is>
          <t>WGS-O-03</t>
        </is>
      </c>
      <c r="B24" s="5" t="n">
        <v>829</v>
      </c>
      <c r="C24" s="5" t="n">
        <v>829</v>
      </c>
    </row>
    <row r="25">
      <c r="A25" s="5" t="inlineStr">
        <is>
          <t>WGS-O-04</t>
        </is>
      </c>
      <c r="B25" s="5" t="n">
        <v>813</v>
      </c>
      <c r="C25" s="5" t="n">
        <v>813</v>
      </c>
    </row>
    <row r="26">
      <c r="A26" s="5" t="inlineStr">
        <is>
          <t>WGS-O-05</t>
        </is>
      </c>
      <c r="B26" s="5" t="n">
        <v>1745</v>
      </c>
      <c r="C26" s="5" t="n">
        <v>1725</v>
      </c>
    </row>
    <row r="27">
      <c r="A27" s="5" t="inlineStr">
        <is>
          <t>WGS-O-06</t>
        </is>
      </c>
      <c r="B27" s="5" t="n">
        <v>1669</v>
      </c>
      <c r="C27" s="5" t="n">
        <v>1641</v>
      </c>
    </row>
    <row r="28">
      <c r="A28" s="5" t="inlineStr">
        <is>
          <t>WGS-T-01</t>
        </is>
      </c>
      <c r="B28" s="5" t="n">
        <v>1688</v>
      </c>
      <c r="C28" s="5" t="n">
        <v>1397</v>
      </c>
    </row>
    <row r="29">
      <c r="A29" s="5" t="inlineStr">
        <is>
          <t>WGS-T-02</t>
        </is>
      </c>
      <c r="B29" s="5" t="n">
        <v>1865</v>
      </c>
      <c r="C29" s="5" t="n">
        <v>1715</v>
      </c>
    </row>
    <row r="30">
      <c r="A30" s="5" t="inlineStr">
        <is>
          <t>WGS-T-03</t>
        </is>
      </c>
      <c r="B30" s="5" t="n">
        <v>1268</v>
      </c>
      <c r="C30" s="5" t="n">
        <v>1196</v>
      </c>
    </row>
    <row r="31">
      <c r="A31" s="5" t="inlineStr">
        <is>
          <t>WGS-T-04</t>
        </is>
      </c>
      <c r="B31" s="5" t="n">
        <v>34</v>
      </c>
      <c r="C31" s="5" t="n">
        <v>33</v>
      </c>
    </row>
    <row r="32">
      <c r="A32" s="5" t="inlineStr">
        <is>
          <t>WGS-T-05</t>
        </is>
      </c>
      <c r="B32" s="5" t="n">
        <v>3418</v>
      </c>
      <c r="C32" s="5" t="n">
        <v>3418</v>
      </c>
    </row>
    <row r="33">
      <c r="A33" s="5" t="inlineStr">
        <is>
          <t>WGS-T-06</t>
        </is>
      </c>
      <c r="B33" s="5" t="n">
        <v>516</v>
      </c>
      <c r="C33" s="5" t="n">
        <v>516</v>
      </c>
    </row>
    <row r="34">
      <c r="A34" s="5" t="inlineStr">
        <is>
          <t>WGS-T-07</t>
        </is>
      </c>
      <c r="B34" s="5" t="n">
        <v>1012</v>
      </c>
      <c r="C34" s="5" t="n">
        <v>943</v>
      </c>
    </row>
    <row r="35">
      <c r="A35" s="5" t="inlineStr">
        <is>
          <t>WGS-T-08</t>
        </is>
      </c>
      <c r="B35" s="5" t="n">
        <v>443</v>
      </c>
      <c r="C35" s="5" t="n">
        <v>439</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0" customWidth="1" min="1" max="1"/>
    <col width="40" customWidth="1" min="2" max="2"/>
    <col width="46" customWidth="1" min="3" max="3"/>
    <col width="40" customWidth="1" min="4" max="4"/>
  </cols>
  <sheetData>
    <row r="1">
      <c r="A1" s="4" t="inlineStr">
        <is>
          <t>问题</t>
        </is>
      </c>
      <c r="B1" s="4" t="inlineStr">
        <is>
          <t>表现</t>
        </is>
      </c>
      <c r="C1" s="4" t="inlineStr">
        <is>
          <t>处理方式</t>
        </is>
      </c>
      <c r="D1" s="4" t="inlineStr">
        <is>
          <t>结果/残留</t>
        </is>
      </c>
    </row>
    <row r="2" ht="60" customHeight="1">
      <c r="A2" s="5" t="inlineStr">
        <is>
          <t>部分站点反爬/跳转</t>
        </is>
      </c>
      <c r="B2" s="6" t="inlineStr">
        <is>
          <t>马蜂窝游记跳转登录验证（HTTP 202）</t>
        </is>
      </c>
      <c r="C2" s="6" t="inlineStr">
        <is>
          <t>记录失败原因，改用其他公开来源补足样本</t>
        </is>
      </c>
      <c r="D2" s="6" t="inlineStr">
        <is>
          <t>来源清单保留失败记录，未影响数量要求</t>
        </is>
      </c>
    </row>
    <row r="3" ht="60" customHeight="1">
      <c r="A3" s="5" t="inlineStr">
        <is>
          <t>页面编码混用</t>
        </is>
      </c>
      <c r="B3" s="6" t="inlineStr">
        <is>
          <t>8264 页面声明 GBK，实际混有 UTF-8 片段，脚本区出现 6 个替换符</t>
        </is>
      </c>
      <c r="C3" s="6" t="inlineStr">
        <is>
          <t>多编码候选打分解码 + 替换符兜底；站点规则只取正文</t>
        </is>
      </c>
      <c r="D3" s="6" t="inlineStr">
        <is>
          <t>正文解码正确；脚本区乱码未进入数据集，最终 0 个替换符</t>
        </is>
      </c>
    </row>
    <row r="4" ht="60" customHeight="1">
      <c r="A4" s="5" t="inlineStr">
        <is>
          <t>正文与站点框架混杂</t>
        </is>
      </c>
      <c r="B4" s="6" t="inlineStr">
        <is>
          <t>导航、按钮、版权、推荐流混在正文容器内</t>
        </is>
      </c>
      <c r="C4" s="6" t="inlineStr">
        <is>
          <t>站点规则定位正文 + 行级噪声规则 + 文本密度兜底</t>
        </is>
      </c>
      <c r="D4" s="6" t="inlineStr">
        <is>
          <t>删除噪声行 18 行，正文完整保留</t>
        </is>
      </c>
    </row>
    <row r="5" ht="60" customHeight="1">
      <c r="A5" s="5" t="inlineStr">
        <is>
          <t>图片为主/短文本</t>
        </is>
      </c>
      <c r="B5" s="6" t="inlineStr">
        <is>
          <t>豆瓣图片帖正文仅 33 字</t>
        </is>
      </c>
      <c r="C5" s="6" t="inlineStr">
        <is>
          <t>保留记录并标记“文本过短/图片为主”，不计入有效游记</t>
        </is>
      </c>
      <c r="D5" s="6" t="inlineStr">
        <is>
          <t>有效游记 7 篇，仍满足要求</t>
        </is>
      </c>
    </row>
    <row r="6" ht="60" customHeight="1">
      <c r="A6" s="5" t="inlineStr">
        <is>
          <t>重复段落</t>
        </is>
      </c>
      <c r="B6" s="6" t="inlineStr">
        <is>
          <t>部分攻略在开头/结尾重复口号式段落</t>
        </is>
      </c>
      <c r="C6" s="6" t="inlineStr">
        <is>
          <t>完全重复 + 相似度≥0.90 段落去重</t>
        </is>
      </c>
      <c r="D6" s="6" t="inlineStr">
        <is>
          <t>删除 2 段，未误删正文</t>
        </is>
      </c>
    </row>
    <row r="7" ht="60" customHeight="1">
      <c r="A7" s="5" t="inlineStr">
        <is>
          <t>论坛签名/时间戳</t>
        </is>
      </c>
      <c r="B7" s="6" t="inlineStr">
        <is>
          <t>老帖正文句末粘附论坛签名、上传时间</t>
        </is>
      </c>
      <c r="C7" s="6" t="inlineStr">
        <is>
          <t>句末异常符号比例检测 + 时间戳正则清理</t>
        </is>
      </c>
      <c r="D7" s="6" t="inlineStr">
        <is>
          <t>已清除；规则偏保守，可能漏掉极短签名</t>
        </is>
      </c>
    </row>
    <row r="8" ht="60" customHeight="1">
      <c r="A8" s="5" t="inlineStr">
        <is>
          <t>繁体/多语言页面</t>
        </is>
      </c>
      <c r="B8" s="6" t="inlineStr">
        <is>
          <t>Trip.com 页面为繁体且正文由前端 JSON 渲染</t>
        </is>
      </c>
      <c r="C8" s="6" t="inlineStr">
        <is>
          <t>不纳入数据集，保留拒绝记录</t>
        </is>
      </c>
      <c r="D8" s="6" t="inlineStr">
        <is>
          <t>保证语料以简体中文为主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2026-10-28T11:17:07Z</dcterms:created>
  <dcterms:modified xmlns:dcterms="http://purl.org/dc/terms/" xmlns:xsi="http://www.w3.org/2001/XMLSchema-instance" xsi:type="dcterms:W3CDTF">2026-10-28T11:17:07Z</dcterms:modified>
</cp:coreProperties>
</file>